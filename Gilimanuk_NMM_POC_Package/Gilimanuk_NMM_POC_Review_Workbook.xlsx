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0cfc88065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3599ad670e4e85"/>
    <x:sheet xmlns:r="http://schemas.openxmlformats.org/officeDocument/2006/relationships" name="Canonical_Objects" sheetId="2" r:id="R1f73128a45e14e2c"/>
    <x:sheet xmlns:r="http://schemas.openxmlformats.org/officeDocument/2006/relationships" name="Connectivity" sheetId="3" r:id="R100c60ea32124562"/>
    <x:sheet xmlns:r="http://schemas.openxmlformats.org/officeDocument/2006/relationships" name="Source_Mapping" sheetId="4" r:id="R1659745ea1e5415f"/>
    <x:sheet xmlns:r="http://schemas.openxmlformats.org/officeDocument/2006/relationships" name="Assumptions" sheetId="5" r:id="Rd8cf0d9086a44081"/>
    <x:sheet xmlns:r="http://schemas.openxmlformats.org/officeDocument/2006/relationships" name="Validation" sheetId="6" r:id="R40a1df192a8442ba"/>
    <x:sheet xmlns:r="http://schemas.openxmlformats.org/officeDocument/2006/relationships" name="Source_Issues" sheetId="7" r:id="R4bba87de1963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7"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fa5a5457f4541" /><Relationship Type="http://schemas.openxmlformats.org/officeDocument/2006/relationships/theme" Target="/xl/theme/theme1.xml" Id="Racef4ee2401a4465" /><Relationship Type="http://schemas.microsoft.com/office/2022/11/relationships/FeaturePropertyBag" Target="/xl/featurePropertyBag/featurePropertyBag.xml" Id="R02df6336e0394d8e" /><Relationship Type="http://schemas.openxmlformats.org/officeDocument/2006/relationships/sharedStrings" Target="/xl/sharedStrings.xml" Id="R89edee3160984d63" /><Relationship Type="http://schemas.openxmlformats.org/officeDocument/2006/relationships/worksheet" Target="/xl/worksheets/sheet1.xml" Id="R743599ad670e4e85" /><Relationship Type="http://schemas.openxmlformats.org/officeDocument/2006/relationships/worksheet" Target="/xl/worksheets/sheet2.xml" Id="R1f73128a45e14e2c" /><Relationship Type="http://schemas.openxmlformats.org/officeDocument/2006/relationships/worksheet" Target="/xl/worksheets/sheet3.xml" Id="R100c60ea32124562" /><Relationship Type="http://schemas.openxmlformats.org/officeDocument/2006/relationships/worksheet" Target="/xl/worksheets/sheet4.xml" Id="R1659745ea1e5415f" /><Relationship Type="http://schemas.openxmlformats.org/officeDocument/2006/relationships/worksheet" Target="/xl/worksheets/sheet5.xml" Id="Rd8cf0d9086a44081" /><Relationship Type="http://schemas.openxmlformats.org/officeDocument/2006/relationships/worksheet" Target="/xl/worksheets/sheet6.xml" Id="R40a1df192a8442ba" /><Relationship Type="http://schemas.openxmlformats.org/officeDocument/2006/relationships/worksheet" Target="/xl/worksheets/sheet7.xml" Id="R4bba87de196342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onicalObjectsTable" displayName="CanonicalObjectsTable" ref="A4:L298" headerRowCount="1">
  <x:tableColumns count="12">
    <x:tableColumn id="1" name="canonical_id"/>
    <x:tableColumn id="2" name="mrid"/>
    <x:tableColumn id="3" name="cim_class"/>
    <x:tableColumn id="4" name="name"/>
    <x:tableColumn id="5" name="substation"/>
    <x:tableColumn id="6" name="voltage_kv"/>
    <x:tableColumn id="7" name="bay"/>
    <x:tableColumn id="8" name="provenance"/>
    <x:tableColumn id="9" name="confidence"/>
    <x:tableColumn id="10" name="status"/>
    <x:tableColumn id="11" name="source_mrids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nectivityTable" displayName="ConnectivityTable" ref="A4:J68" headerRowCount="1">
  <x:tableColumns count="10">
    <x:tableColumn id="1" name="equipment_id"/>
    <x:tableColumn id="2" name="equipment_name"/>
    <x:tableColumn id="3" name="cim_class"/>
    <x:tableColumn id="4" name="terminal_1"/>
    <x:tableColumn id="5" name="node_1"/>
    <x:tableColumn id="6" name="terminal_2"/>
    <x:tableColumn id="7" name="node_2"/>
    <x:tableColumn id="8" name="normal_open"/>
    <x:tableColumn id="9" name="provenance"/>
    <x:tableColumn id="10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SourceMappingTable" displayName="SourceMappingTable" ref="A4:I26" headerRowCount="1">
  <x:tableColumns count="9">
    <x:tableColumn id="1" name="source_class"/>
    <x:tableColumn id="2" name="source_mrid"/>
    <x:tableColumn id="3" name="source_name"/>
    <x:tableColumn id="4" name="source_description"/>
    <x:tableColumn id="5" name="canonical_id"/>
    <x:tableColumn id="6" name="mapping_status"/>
    <x:tableColumn id="7" name="mapping_rule"/>
    <x:tableColumn id="8" name="confidence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ssumptionsTable" displayName="AssumptionsTable" ref="A4:I12" headerRowCount="1">
  <x:tableColumns count="9">
    <x:tableColumn id="1" name="assumption_id"/>
    <x:tableColumn id="2" name="category"/>
    <x:tableColumn id="3" name="object"/>
    <x:tableColumn id="4" name="field"/>
    <x:tableColumn id="5" name="assumed_value"/>
    <x:tableColumn id="6" name="basis"/>
    <x:tableColumn id="7" name="confidence"/>
    <x:tableColumn id="8" name="review_required"/>
    <x:tableColumn id="9" name="impact"/>
  </x:tableColumns>
  <x:tableStyleInfo name="TableStyleMedium2" showRowStripes="1"/>
</x:table>
</file>

<file path=xl/tables/table5.xml><?xml version="1.0" encoding="utf-8"?>
<x:table xmlns:x="http://schemas.openxmlformats.org/spreadsheetml/2006/main" id="5" name="ValidationTable" displayName="ValidationTable" ref="A4:G13" headerRowCount="1">
  <x:tableColumns count="7">
    <x:tableColumn id="1" name="rule_id"/>
    <x:tableColumn id="2" name="severity"/>
    <x:tableColumn id="3" name="scope"/>
    <x:tableColumn id="4" name="rule"/>
    <x:tableColumn id="5" name="status"/>
    <x:tableColumn id="6" name="detail"/>
    <x:tableColumn id="7" name="required_action"/>
  </x:tableColumns>
  <x:tableStyleInfo name="TableStyleMedium2" showRowStripes="1"/>
</x:table>
</file>

<file path=xl/tables/table6.xml><?xml version="1.0" encoding="utf-8"?>
<x:table xmlns:x="http://schemas.openxmlformats.org/spreadsheetml/2006/main" id="6" name="SourceIssuesTable" displayName="SourceIssuesTable" ref="A4:F14" headerRowCount="1">
  <x:tableColumns count="6">
    <x:tableColumn id="1" name="issue_id"/>
    <x:tableColumn id="2" name="severity"/>
    <x:tableColumn id="3" name="metric"/>
    <x:tableColumn id="4" name="value"/>
    <x:tableColumn id="5" name="finding"/>
    <x:tableColumn id="6" name="POC_trea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fc4370f65f4b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e1362ee3664c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65d6d6e84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964f8766654a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01e5c055f944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73235ce36144f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" hidden="0" customWidth="1"/>
    <x:col min="4" max="4" width="34" hidden="0" customWidth="1"/>
    <x:col min="5" max="5" width="18" hidden="0" customWidth="1"/>
    <x:col min="6" max="6" width="4" hidden="0" customWidth="1"/>
    <x:col min="7" max="7" width="28" hidden="0" customWidth="1"/>
    <x:col min="8" max="8" width="18" hidden="0" customWidth="1"/>
  </x:cols>
  <x:sheetData>
    <x:row r="1" ht="32" customHeight="1">
      <x:c r="A1" s="4" t="str">
        <x:v>GI GILIMANUK — NMM/CIM PROOF OF CONCEPT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0" t="str">
        <x:v>Canonical node-breaker draft reconstructed from the supplied Bali CIM XML and overview SLD. All source, derived, and assumed values are separated for review.</x:v>
      </x:c>
      <x:c r="B2" s="10"/>
      <x:c r="C2" s="10"/>
      <x:c r="D2" s="10"/>
      <x:c r="E2" s="10"/>
      <x:c r="F2" s="10"/>
      <x:c r="G2" s="10"/>
      <x:c r="H2" s="10"/>
    </x:row>
    <x:row r="4">
      <x:c r="A4" s="15" t="str">
        <x:v>Pilot scope</x:v>
      </x:c>
      <x:c r="B4" s="15" t="str">
        <x:v>Value</x:v>
      </x:c>
      <x:c r="D4" s="15" t="str">
        <x:v>Source diagnostic</x:v>
      </x:c>
      <x:c r="E4" s="15" t="str">
        <x:v>Count / result</x:v>
      </x:c>
      <x:c r="G4" s="15" t="str">
        <x:v>Canonical output KPI</x:v>
      </x:c>
      <x:c r="H4" s="15" t="str">
        <x:v>Value</x:v>
      </x:c>
    </x:row>
    <x:row r="5">
      <x:c r="A5" s="18" t="str">
        <x:v>Primary substation</x:v>
      </x:c>
      <x:c r="B5" s="18" t="str">
        <x:v>GI GILIMANUK</x:v>
      </x:c>
      <x:c r="D5" t="str">
        <x:v>Gilimanuk-related source objects</x:v>
      </x:c>
      <x:c r="E5" t="n">
        <x:v>114</x:v>
      </x:c>
      <x:c r="G5" t="str">
        <x:v>Canonical objects</x:v>
      </x:c>
      <x:c r="H5" t="n">
        <x:f>COUNTA(Canonical_Objects!A5:A1000)</x:f>
        <x:v>294</x:v>
      </x:c>
    </x:row>
    <x:row r="6">
      <x:c r="A6" s="18" t="str">
        <x:v>Model type</x:v>
      </x:c>
      <x:c r="B6" s="18" t="str">
        <x:v>Node-breaker canonical draft</x:v>
      </x:c>
      <x:c r="D6" t="str">
        <x:v>Repeated GI Gilimanuk Substation objects</x:v>
      </x:c>
      <x:c r="E6" t="n">
        <x:v>19</x:v>
      </x:c>
      <x:c r="G6" t="str">
        <x:v>Breakers</x:v>
      </x:c>
      <x:c r="H6" t="n">
        <x:f>COUNTIF(Canonical_Objects!C5:C1000,"Breaker")</x:f>
        <x:v>13</x:v>
      </x:c>
    </x:row>
    <x:row r="7">
      <x:c r="A7" s="18" t="str">
        <x:v>Source topology</x:v>
      </x:c>
      <x:c r="B7" s="18" t="str">
        <x:v>Overview SLD Bali Utara</x:v>
      </x:c>
      <x:c r="D7" t="str">
        <x:v>Source Breaker objects</x:v>
      </x:c>
      <x:c r="E7" t="n">
        <x:v>0</x:v>
      </x:c>
      <x:c r="G7" t="str">
        <x:v>Disconnectors</x:v>
      </x:c>
      <x:c r="H7" t="n">
        <x:f>COUNTIF(Canonical_Objects!C5:C1000,"Disconnector")</x:f>
        <x:v>38</x:v>
      </x:c>
    </x:row>
    <x:row r="8">
      <x:c r="A8" s="18" t="str">
        <x:v>Source model</x:v>
      </x:c>
      <x:c r="B8" s="18" t="str">
        <x:v>CIM_sample-db_userdef_python.xml</x:v>
      </x:c>
      <x:c r="D8" t="str">
        <x:v>Source Disconnector objects</x:v>
      </x:c>
      <x:c r="E8" t="n">
        <x:v>2</x:v>
      </x:c>
      <x:c r="G8" t="str">
        <x:v>ACLineSegments</x:v>
      </x:c>
      <x:c r="H8" t="n">
        <x:f>COUNTIF(Canonical_Objects!C5:C1000,"ACLineSegment")</x:f>
        <x:v>9</x:v>
      </x:c>
    </x:row>
    <x:row r="9">
      <x:c r="A9" s="18" t="str">
        <x:v>Coordinate pattern reference</x:v>
      </x:c>
      <x:c r="B9" s="18" t="str">
        <x:v>02d_CIM_EQ_1-SS_Filled-WithCoordinate_250604.xml</x:v>
      </x:c>
      <x:c r="D9" t="str">
        <x:v>Gilimanuk placeholder fields</x:v>
      </x:c>
      <x:c r="E9" t="n">
        <x:v>88</x:v>
      </x:c>
      <x:c r="G9" t="str">
        <x:v>PowerTransformers</x:v>
      </x:c>
      <x:c r="H9" t="n">
        <x:f>COUNTIF(Canonical_Objects!C5:C1000,"PowerTransformer")</x:f>
        <x:v>3</x:v>
      </x:c>
    </x:row>
    <x:row r="10">
      <x:c r="A10" s="18" t="str">
        <x:v>Canonical XML output</x:v>
      </x:c>
      <x:c r="B10" s="18" t="str">
        <x:v>Gilimanuk_NMM_POC_Canonical_Draft.xml</x:v>
      </x:c>
      <x:c r="D10" t="str">
        <x:v>Gilimanuk rdf:ID/mRID mismatches</x:v>
      </x:c>
      <x:c r="E10" t="n">
        <x:v>4</x:v>
      </x:c>
      <x:c r="G10" t="str">
        <x:v>ConnectivityNodes</x:v>
      </x:c>
      <x:c r="H10" t="n">
        <x:f>COUNTIF(Canonical_Objects!C5:C1000,"ConnectivityNode")</x:f>
        <x:v>51</x:v>
      </x:c>
    </x:row>
    <x:row r="11">
      <x:c r="A11" s="18" t="str">
        <x:v>Model status</x:v>
      </x:c>
      <x:c r="B11" s="18" t="str">
        <x:v>DRAFT — engineering validation required</x:v>
      </x:c>
      <x:c r="G11" t="str">
        <x:v>Open validation items</x:v>
      </x:c>
      <x:c r="H11" t="n">
        <x:f>COUNTIF(Validation!E5:E100,"OPEN")</x:f>
        <x:v>3</x:v>
      </x:c>
    </x:row>
    <x:row r="14">
      <x:c r="A14" s="15" t="str">
        <x:v>Interpretation</x:v>
      </x:c>
      <x:c r="B14" s="15"/>
      <x:c r="C14" s="15"/>
      <x:c r="D14" s="15"/>
      <x:c r="E14" s="15"/>
      <x:c r="F14" s="15"/>
      <x:c r="G14" s="15"/>
      <x:c r="H14" s="15"/>
    </x:row>
    <x:row r="15">
      <x:c r="A15" s="20" t="str">
        <x:v>This POC fixes the identity/connectivity gap by assigning one persistent canonical mRID to each equipment, terminal, and connectivity node. The original XML identifiers remain in the mapping sheet. CB/DS objects are generated as provisional equipment using a double-bus single-breaker template; they must be reconciled with detailed SLD, SAP equipment IDs, and SCADA operational tags before production use.</x:v>
      </x:c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</x:sheetData>
  <x:mergeCells>
    <x:mergeCell ref="A1:H1"/>
    <x:mergeCell ref="A2:H2"/>
    <x:mergeCell ref="A14:H14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4" hidden="0" customWidth="1"/>
    <x:col min="4" max="4" width="42" hidden="0" customWidth="1"/>
    <x:col min="5" max="5" width="24" hidden="0" customWidth="1"/>
    <x:col min="6" max="6" width="12" hidden="0" customWidth="1"/>
    <x:col min="7" max="7" width="15" hidden="0" customWidth="1"/>
    <x:col min="8" max="8" width="30" hidden="0" customWidth="1"/>
    <x:col min="9" max="9" width="12" hidden="0" customWidth="1"/>
    <x:col min="10" max="10" width="12" hidden="0" customWidth="1"/>
    <x:col min="11" max="11" width="44" hidden="0" customWidth="1"/>
    <x:col min="12" max="12" width="55" hidden="0" customWidth="1"/>
  </x:cols>
  <x:sheetData>
    <x:row r="1" ht="28" customHeight="1">
      <x:c r="A1" s="24" t="str">
        <x:v>Canonical Object Registry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34" customHeight="1">
      <x:c r="A2" s="30" t="str">
        <x:v>Each physical/logical object receives a deterministic UUID mRID. Source mRIDs are retained as aliases.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4" ht="30" customHeight="1">
      <x:c r="A4" s="36" t="str">
        <x:v>canonical_id</x:v>
      </x:c>
      <x:c r="B4" s="36" t="str">
        <x:v>mrid</x:v>
      </x:c>
      <x:c r="C4" s="36" t="str">
        <x:v>cim_class</x:v>
      </x:c>
      <x:c r="D4" s="36" t="str">
        <x:v>name</x:v>
      </x:c>
      <x:c r="E4" s="36" t="str">
        <x:v>substation</x:v>
      </x:c>
      <x:c r="F4" s="36" t="str">
        <x:v>voltage_kv</x:v>
      </x:c>
      <x:c r="G4" s="36" t="str">
        <x:v>bay</x:v>
      </x:c>
      <x:c r="H4" s="36" t="str">
        <x:v>provenance</x:v>
      </x:c>
      <x:c r="I4" s="36" t="str">
        <x:v>confidence</x:v>
      </x:c>
      <x:c r="J4" s="36" t="str">
        <x:v>status</x:v>
      </x:c>
      <x:c r="K4" s="36" t="str">
        <x:v>source_mrids</x:v>
      </x:c>
      <x:c r="L4" s="36" t="str">
        <x:v>notes</x:v>
      </x:c>
    </x:row>
    <x:row r="5">
      <x:c r="A5" s="20" t="str">
        <x:v>REG-UPT-BALI</x:v>
      </x:c>
      <x:c r="B5" s="20" t="str">
        <x:v>2f5bdeec-0fa9-55d7-bbbe-b15c337a01a6</x:v>
      </x:c>
      <x:c r="C5" s="20" t="str">
        <x:v>GeographicalRegion</x:v>
      </x:c>
      <x:c r="D5" s="20" t="str">
        <x:v>UPT BALI</x:v>
      </x:c>
      <x:c r="E5" s="20" t="str"/>
      <x:c r="F5" s="20" t="str"/>
      <x:c r="G5" s="20" t="str"/>
      <x:c r="H5" s="20" t="str">
        <x:v>SOURCE_NORMALIZED</x:v>
      </x:c>
      <x:c r="I5" s="40" t="n">
        <x:v>0.95</x:v>
      </x:c>
      <x:c r="J5" s="20" t="str">
        <x:v>DRAFT</x:v>
      </x:c>
      <x:c r="K5" s="20" t="str"/>
      <x:c r="L5" s="20" t="str">
        <x:v>Canonical geographical region for the pilot.</x:v>
      </x:c>
    </x:row>
    <x:row r="6">
      <x:c r="A6" s="20" t="str">
        <x:v>SREG-BALI</x:v>
      </x:c>
      <x:c r="B6" s="20" t="str">
        <x:v>79728d3f-9308-580f-9bc1-89664fb0f393</x:v>
      </x:c>
      <x:c r="C6" s="20" t="str">
        <x:v>SubGeographicalRegion</x:v>
      </x:c>
      <x:c r="D6" s="20" t="str">
        <x:v>BALI</x:v>
      </x:c>
      <x:c r="E6" s="20" t="str"/>
      <x:c r="F6" s="20" t="str"/>
      <x:c r="G6" s="20" t="str"/>
      <x:c r="H6" s="20" t="str">
        <x:v>SOURCE_NORMALIZED</x:v>
      </x:c>
      <x:c r="I6" s="40" t="n">
        <x:v>0.95</x:v>
      </x:c>
      <x:c r="J6" s="20" t="str">
        <x:v>DRAFT</x:v>
      </x:c>
      <x:c r="K6" s="20" t="str"/>
      <x:c r="L6" s="20" t="str">
        <x:v>Canonical sub-geographical region for the pilot.</x:v>
      </x:c>
    </x:row>
    <x:row r="7">
      <x:c r="A7" s="20" t="str">
        <x:v>BV-150</x:v>
      </x:c>
      <x:c r="B7" s="20" t="str">
        <x:v>9bcb393f-f8da-5da9-ba04-53d6d02e6e62</x:v>
      </x:c>
      <x:c r="C7" s="20" t="str">
        <x:v>BaseVoltage</x:v>
      </x:c>
      <x:c r="D7" s="20" t="str">
        <x:v>150 kV</x:v>
      </x:c>
      <x:c r="E7" s="20" t="str"/>
      <x:c r="F7" s="20" t="str"/>
      <x:c r="G7" s="20" t="str"/>
      <x:c r="H7" s="20" t="str">
        <x:v>SOURCE_NORMALIZED</x:v>
      </x:c>
      <x:c r="I7" s="40" t="n">
        <x:v>1</x:v>
      </x:c>
      <x:c r="J7" s="20" t="str">
        <x:v>DRAFT</x:v>
      </x:c>
      <x:c r="K7" s="20" t="str"/>
      <x:c r="L7" s="20" t="str">
        <x:v>Canonical 150 kV base voltage.</x:v>
      </x:c>
    </x:row>
    <x:row r="8">
      <x:c r="A8" s="20" t="str">
        <x:v>BV-20</x:v>
      </x:c>
      <x:c r="B8" s="20" t="str">
        <x:v>38a896e7-335b-5645-b34c-8e343459ea1d</x:v>
      </x:c>
      <x:c r="C8" s="20" t="str">
        <x:v>BaseVoltage</x:v>
      </x:c>
      <x:c r="D8" s="20" t="str">
        <x:v>20 kV</x:v>
      </x:c>
      <x:c r="E8" s="20" t="str"/>
      <x:c r="F8" s="20" t="str"/>
      <x:c r="G8" s="20" t="str"/>
      <x:c r="H8" s="20" t="str">
        <x:v>SLD_DERIVED</x:v>
      </x:c>
      <x:c r="I8" s="40" t="n">
        <x:v>0.9</x:v>
      </x:c>
      <x:c r="J8" s="20" t="str">
        <x:v>DRAFT</x:v>
      </x:c>
      <x:c r="K8" s="20" t="str"/>
      <x:c r="L8" s="20" t="str">
        <x:v>Canonical 20 kV base voltage.</x:v>
      </x:c>
    </x:row>
    <x:row r="9">
      <x:c r="A9" s="20" t="str">
        <x:v>BV-11</x:v>
      </x:c>
      <x:c r="B9" s="20" t="str">
        <x:v>5979b941-580a-5f8c-b8d3-40dc240cd454</x:v>
      </x:c>
      <x:c r="C9" s="20" t="str">
        <x:v>BaseVoltage</x:v>
      </x:c>
      <x:c r="D9" s="20" t="str">
        <x:v>11 kV</x:v>
      </x:c>
      <x:c r="E9" s="20" t="str"/>
      <x:c r="F9" s="20" t="str"/>
      <x:c r="G9" s="20" t="str"/>
      <x:c r="H9" s="20" t="str">
        <x:v>ASSUMED</x:v>
      </x:c>
      <x:c r="I9" s="40" t="n">
        <x:v>0.4</x:v>
      </x:c>
      <x:c r="J9" s="20" t="str">
        <x:v>DRAFT</x:v>
      </x:c>
      <x:c r="K9" s="20" t="str"/>
      <x:c r="L9" s="20" t="str">
        <x:v>Provisional generator-side base voltage.</x:v>
      </x:c>
    </x:row>
    <x:row r="10">
      <x:c r="A10" s="20" t="str">
        <x:v>SUB-GIL</x:v>
      </x:c>
      <x:c r="B10" s="20" t="str">
        <x:v>79b2e3e3-8ef1-5830-877a-67372ae69f36</x:v>
      </x:c>
      <x:c r="C10" s="20" t="str">
        <x:v>Substation</x:v>
      </x:c>
      <x:c r="D10" s="20" t="str">
        <x:v>GI GILIMANUK</x:v>
      </x:c>
      <x:c r="E10" s="20" t="str">
        <x:v>GI GILIMANUK</x:v>
      </x:c>
      <x:c r="F10" s="20" t="str"/>
      <x:c r="G10" s="20" t="str"/>
      <x:c r="H10" s="20" t="str">
        <x:v>SOURCE_NORMALIZED</x:v>
      </x:c>
      <x:c r="I10" s="40" t="n">
        <x:v>0.98</x:v>
      </x:c>
      <x:c r="J10" s="20" t="str">
        <x:v>DRAFT</x:v>
      </x:c>
      <x:c r="K10" s="20" t="str"/>
      <x:c r="L10" s="20" t="str">
        <x:v>Canonical substation object for GI GILIMANUK.</x:v>
      </x:c>
    </x:row>
    <x:row r="11">
      <x:c r="A11" s="20" t="str">
        <x:v>VL-GIL-150</x:v>
      </x:c>
      <x:c r="B11" s="20" t="str">
        <x:v>91b27de0-c59b-5158-8124-44692aa287e4</x:v>
      </x:c>
      <x:c r="C11" s="20" t="str">
        <x:v>VoltageLevel</x:v>
      </x:c>
      <x:c r="D11" s="20" t="str">
        <x:v>GI GILIMANUK 150 kV</x:v>
      </x:c>
      <x:c r="E11" s="20" t="str">
        <x:v>GI GILIMANUK</x:v>
      </x:c>
      <x:c r="F11" s="20" t="n">
        <x:v>150</x:v>
      </x:c>
      <x:c r="G11" s="20" t="str"/>
      <x:c r="H11" s="20" t="str">
        <x:v>SOURCE_NORMALIZED</x:v>
      </x:c>
      <x:c r="I11" s="40" t="n">
        <x:v>0.98</x:v>
      </x:c>
      <x:c r="J11" s="20" t="str">
        <x:v>DRAFT</x:v>
      </x:c>
      <x:c r="K11" s="20" t="str"/>
      <x:c r="L11" s="20" t="str">
        <x:v>Canonical 150 kV voltage level for GI GILIMANUK.</x:v>
      </x:c>
    </x:row>
    <x:row r="12">
      <x:c r="A12" s="20" t="str">
        <x:v>SUB-BWI</x:v>
      </x:c>
      <x:c r="B12" s="20" t="str">
        <x:v>b64d1b13-4012-5ff4-9562-dcabda33160c</x:v>
      </x:c>
      <x:c r="C12" s="20" t="str">
        <x:v>Substation</x:v>
      </x:c>
      <x:c r="D12" s="20" t="str">
        <x:v>GI BANYUWANGI</x:v>
      </x:c>
      <x:c r="E12" s="20" t="str">
        <x:v>GI BANYUWANGI</x:v>
      </x:c>
      <x:c r="F12" s="20" t="str"/>
      <x:c r="G12" s="20" t="str"/>
      <x:c r="H12" s="20" t="str">
        <x:v>SLD_DERIVED</x:v>
      </x:c>
      <x:c r="I12" s="40" t="n">
        <x:v>0.85</x:v>
      </x:c>
      <x:c r="J12" s="20" t="str">
        <x:v>DRAFT</x:v>
      </x:c>
      <x:c r="K12" s="20" t="str"/>
      <x:c r="L12" s="20" t="str">
        <x:v>Canonical substation object for GI BANYUWANGI.</x:v>
      </x:c>
    </x:row>
    <x:row r="13">
      <x:c r="A13" s="20" t="str">
        <x:v>VL-BWI-150</x:v>
      </x:c>
      <x:c r="B13" s="20" t="str">
        <x:v>dbcb2ed3-7a87-555e-b71e-f55a29956b19</x:v>
      </x:c>
      <x:c r="C13" s="20" t="str">
        <x:v>VoltageLevel</x:v>
      </x:c>
      <x:c r="D13" s="20" t="str">
        <x:v>GI BANYUWANGI 150 kV</x:v>
      </x:c>
      <x:c r="E13" s="20" t="str">
        <x:v>GI BANYUWANGI</x:v>
      </x:c>
      <x:c r="F13" s="20" t="n">
        <x:v>150</x:v>
      </x:c>
      <x:c r="G13" s="20" t="str"/>
      <x:c r="H13" s="20" t="str">
        <x:v>SLD_DERIVED</x:v>
      </x:c>
      <x:c r="I13" s="40" t="n">
        <x:v>0.85</x:v>
      </x:c>
      <x:c r="J13" s="20" t="str">
        <x:v>DRAFT</x:v>
      </x:c>
      <x:c r="K13" s="20" t="str"/>
      <x:c r="L13" s="20" t="str">
        <x:v>Canonical 150 kV voltage level for GI BANYUWANGI.</x:v>
      </x:c>
    </x:row>
    <x:row r="14">
      <x:c r="A14" s="20" t="str">
        <x:v>SUB-NEG</x:v>
      </x:c>
      <x:c r="B14" s="20" t="str">
        <x:v>a4895a2b-5c66-5a2f-aa80-989f4c8caac1</x:v>
      </x:c>
      <x:c r="C14" s="20" t="str">
        <x:v>Substation</x:v>
      </x:c>
      <x:c r="D14" s="20" t="str">
        <x:v>GI NEGARA</x:v>
      </x:c>
      <x:c r="E14" s="20" t="str">
        <x:v>GI NEGARA</x:v>
      </x:c>
      <x:c r="F14" s="20" t="str"/>
      <x:c r="G14" s="20" t="str"/>
      <x:c r="H14" s="20" t="str">
        <x:v>SLD_DERIVED</x:v>
      </x:c>
      <x:c r="I14" s="40" t="n">
        <x:v>0.95</x:v>
      </x:c>
      <x:c r="J14" s="20" t="str">
        <x:v>DRAFT</x:v>
      </x:c>
      <x:c r="K14" s="20" t="str"/>
      <x:c r="L14" s="20" t="str">
        <x:v>Canonical substation object for GI NEGARA.</x:v>
      </x:c>
    </x:row>
    <x:row r="15">
      <x:c r="A15" s="20" t="str">
        <x:v>VL-NEG-150</x:v>
      </x:c>
      <x:c r="B15" s="20" t="str">
        <x:v>46a59b1c-81eb-51d1-ad7c-3320b7590a17</x:v>
      </x:c>
      <x:c r="C15" s="20" t="str">
        <x:v>VoltageLevel</x:v>
      </x:c>
      <x:c r="D15" s="20" t="str">
        <x:v>GI NEGARA 150 kV</x:v>
      </x:c>
      <x:c r="E15" s="20" t="str">
        <x:v>GI NEGARA</x:v>
      </x:c>
      <x:c r="F15" s="20" t="n">
        <x:v>150</x:v>
      </x:c>
      <x:c r="G15" s="20" t="str"/>
      <x:c r="H15" s="20" t="str">
        <x:v>SLD_DERIVED</x:v>
      </x:c>
      <x:c r="I15" s="40" t="n">
        <x:v>0.95</x:v>
      </x:c>
      <x:c r="J15" s="20" t="str">
        <x:v>DRAFT</x:v>
      </x:c>
      <x:c r="K15" s="20" t="str"/>
      <x:c r="L15" s="20" t="str">
        <x:v>Canonical 150 kV voltage level for GI NEGARA.</x:v>
      </x:c>
    </x:row>
    <x:row r="16">
      <x:c r="A16" s="20" t="str">
        <x:v>SUB-CLB</x:v>
      </x:c>
      <x:c r="B16" s="20" t="str">
        <x:v>09c99738-5388-5492-a4d3-d4b699fb9166</x:v>
      </x:c>
      <x:c r="C16" s="20" t="str">
        <x:v>Substation</x:v>
      </x:c>
      <x:c r="D16" s="20" t="str">
        <x:v>GIS CELUKAN BAWANG</x:v>
      </x:c>
      <x:c r="E16" s="20" t="str">
        <x:v>GIS CELUKAN BAWANG</x:v>
      </x:c>
      <x:c r="F16" s="20" t="str"/>
      <x:c r="G16" s="20" t="str"/>
      <x:c r="H16" s="20" t="str">
        <x:v>SLD_DERIVED</x:v>
      </x:c>
      <x:c r="I16" s="40" t="n">
        <x:v>0.75</x:v>
      </x:c>
      <x:c r="J16" s="20" t="str">
        <x:v>DRAFT</x:v>
      </x:c>
      <x:c r="K16" s="20" t="str"/>
      <x:c r="L16" s="20" t="str">
        <x:v>Canonical substation object for GIS CELUKAN BAWANG.</x:v>
      </x:c>
    </x:row>
    <x:row r="17">
      <x:c r="A17" s="20" t="str">
        <x:v>VL-CLB-150</x:v>
      </x:c>
      <x:c r="B17" s="20" t="str">
        <x:v>93b49168-579c-5b10-8a78-5d186380744a</x:v>
      </x:c>
      <x:c r="C17" s="20" t="str">
        <x:v>VoltageLevel</x:v>
      </x:c>
      <x:c r="D17" s="20" t="str">
        <x:v>GIS CELUKAN BAWANG 150 kV</x:v>
      </x:c>
      <x:c r="E17" s="20" t="str">
        <x:v>GIS CELUKAN BAWANG</x:v>
      </x:c>
      <x:c r="F17" s="20" t="n">
        <x:v>150</x:v>
      </x:c>
      <x:c r="G17" s="20" t="str"/>
      <x:c r="H17" s="20" t="str">
        <x:v>SLD_DERIVED</x:v>
      </x:c>
      <x:c r="I17" s="40" t="n">
        <x:v>0.75</x:v>
      </x:c>
      <x:c r="J17" s="20" t="str">
        <x:v>DRAFT</x:v>
      </x:c>
      <x:c r="K17" s="20" t="str"/>
      <x:c r="L17" s="20" t="str">
        <x:v>Canonical 150 kV voltage level for GIS CELUKAN BAWANG.</x:v>
      </x:c>
    </x:row>
    <x:row r="18">
      <x:c r="A18" s="20" t="str">
        <x:v>SUB-PMR</x:v>
      </x:c>
      <x:c r="B18" s="20" t="str">
        <x:v>19468089-bfd1-5f64-a725-2a47405174ad</x:v>
      </x:c>
      <x:c r="C18" s="20" t="str">
        <x:v>Substation</x:v>
      </x:c>
      <x:c r="D18" s="20" t="str">
        <x:v>GI PEMARON</x:v>
      </x:c>
      <x:c r="E18" s="20" t="str">
        <x:v>GI PEMARON</x:v>
      </x:c>
      <x:c r="F18" s="20" t="str"/>
      <x:c r="G18" s="20" t="str"/>
      <x:c r="H18" s="20" t="str">
        <x:v>SLD_DERIVED</x:v>
      </x:c>
      <x:c r="I18" s="40" t="n">
        <x:v>0.9</x:v>
      </x:c>
      <x:c r="J18" s="20" t="str">
        <x:v>DRAFT</x:v>
      </x:c>
      <x:c r="K18" s="20" t="str"/>
      <x:c r="L18" s="20" t="str">
        <x:v>Canonical substation object for GI PEMARON.</x:v>
      </x:c>
    </x:row>
    <x:row r="19">
      <x:c r="A19" s="20" t="str">
        <x:v>VL-PMR-150</x:v>
      </x:c>
      <x:c r="B19" s="20" t="str">
        <x:v>1c0f1a6d-0b2b-5c96-9019-86d14ca1d2cd</x:v>
      </x:c>
      <x:c r="C19" s="20" t="str">
        <x:v>VoltageLevel</x:v>
      </x:c>
      <x:c r="D19" s="20" t="str">
        <x:v>GI PEMARON 150 kV</x:v>
      </x:c>
      <x:c r="E19" s="20" t="str">
        <x:v>GI PEMARON</x:v>
      </x:c>
      <x:c r="F19" s="20" t="n">
        <x:v>150</x:v>
      </x:c>
      <x:c r="G19" s="20" t="str"/>
      <x:c r="H19" s="20" t="str">
        <x:v>SLD_DERIVED</x:v>
      </x:c>
      <x:c r="I19" s="40" t="n">
        <x:v>0.9</x:v>
      </x:c>
      <x:c r="J19" s="20" t="str">
        <x:v>DRAFT</x:v>
      </x:c>
      <x:c r="K19" s="20" t="str"/>
      <x:c r="L19" s="20" t="str">
        <x:v>Canonical 150 kV voltage level for GI PEMARON.</x:v>
      </x:c>
    </x:row>
    <x:row r="20">
      <x:c r="A20" s="20" t="str">
        <x:v>VL-GIL-20</x:v>
      </x:c>
      <x:c r="B20" s="20" t="str">
        <x:v>7aaa5a41-eaf5-5437-82ca-d17548cdd9ce</x:v>
      </x:c>
      <x:c r="C20" s="20" t="str">
        <x:v>VoltageLevel</x:v>
      </x:c>
      <x:c r="D20" s="20" t="str">
        <x:v>GI GILIMANUK 20 kV</x:v>
      </x:c>
      <x:c r="E20" s="20" t="str">
        <x:v>GI GILIMANUK</x:v>
      </x:c>
      <x:c r="F20" s="20" t="n">
        <x:v>20</x:v>
      </x:c>
      <x:c r="G20" s="20" t="str"/>
      <x:c r="H20" s="20" t="str">
        <x:v>ASSUMED</x:v>
      </x:c>
      <x:c r="I20" s="40" t="n">
        <x:v>0.55</x:v>
      </x:c>
      <x:c r="J20" s="20" t="str">
        <x:v>DRAFT</x:v>
      </x:c>
      <x:c r="K20" s="20" t="str"/>
      <x:c r="L20" s="20" t="str">
        <x:v>Provisional aggregate 20 kV voltage level for transformer LV terminals.</x:v>
      </x:c>
    </x:row>
    <x:row r="21">
      <x:c r="A21" s="20" t="str">
        <x:v>VL-GIL-11</x:v>
      </x:c>
      <x:c r="B21" s="20" t="str">
        <x:v>58682489-f098-5add-896e-7a7fa683f23c</x:v>
      </x:c>
      <x:c r="C21" s="20" t="str">
        <x:v>VoltageLevel</x:v>
      </x:c>
      <x:c r="D21" s="20" t="str">
        <x:v>PLTG GILIMANUK 11 kV</x:v>
      </x:c>
      <x:c r="E21" s="20" t="str">
        <x:v>GI GILIMANUK</x:v>
      </x:c>
      <x:c r="F21" s="20" t="n">
        <x:v>11</x:v>
      </x:c>
      <x:c r="G21" s="20" t="str"/>
      <x:c r="H21" s="20" t="str">
        <x:v>ASSUMED</x:v>
      </x:c>
      <x:c r="I21" s="40" t="n">
        <x:v>0.4</x:v>
      </x:c>
      <x:c r="J21" s="20" t="str">
        <x:v>DRAFT</x:v>
      </x:c>
      <x:c r="K21" s="20" t="str"/>
      <x:c r="L21" s="20" t="str">
        <x:v>Provisional generator-side voltage level for the GSU connection.</x:v>
      </x:c>
    </x:row>
    <x:row r="22">
      <x:c r="A22" s="20" t="str">
        <x:v>CN-GIL-150-BUS-A</x:v>
      </x:c>
      <x:c r="B22" s="20" t="str">
        <x:v>ed6ab2ed-52aa-51af-bd63-f63cfdf40149</x:v>
      </x:c>
      <x:c r="C22" s="20" t="str">
        <x:v>ConnectivityNode</x:v>
      </x:c>
      <x:c r="D22" s="20" t="str">
        <x:v>GI GILIMANUK BUS A 150 kV</x:v>
      </x:c>
      <x:c r="E22" s="20" t="str">
        <x:v>GI GILIMANUK</x:v>
      </x:c>
      <x:c r="F22" s="20" t="n">
        <x:v>150</x:v>
      </x:c>
      <x:c r="G22" s="20" t="str"/>
      <x:c r="H22" s="20" t="str">
        <x:v>SOURCE_NORMALIZED</x:v>
      </x:c>
      <x:c r="I22" s="40" t="n">
        <x:v>0.95</x:v>
      </x:c>
      <x:c r="J22" s="20" t="str">
        <x:v>DRAFT</x:v>
      </x:c>
      <x:c r="K22" s="20" t="str"/>
      <x:c r="L22" s="20" t="str">
        <x:v>Connectivity node GI GILIMANUK BUS A 150 kV.</x:v>
      </x:c>
    </x:row>
    <x:row r="23">
      <x:c r="A23" s="20" t="str">
        <x:v>CN-GIL-150-BUS-B</x:v>
      </x:c>
      <x:c r="B23" s="20" t="str">
        <x:v>2828a314-bbb1-52bb-a2c4-6df5d03f72d2</x:v>
      </x:c>
      <x:c r="C23" s="20" t="str">
        <x:v>ConnectivityNode</x:v>
      </x:c>
      <x:c r="D23" s="20" t="str">
        <x:v>GI GILIMANUK BUS B 150 kV</x:v>
      </x:c>
      <x:c r="E23" s="20" t="str">
        <x:v>GI GILIMANUK</x:v>
      </x:c>
      <x:c r="F23" s="20" t="n">
        <x:v>150</x:v>
      </x:c>
      <x:c r="G23" s="20" t="str"/>
      <x:c r="H23" s="20" t="str">
        <x:v>SOURCE_NORMALIZED</x:v>
      </x:c>
      <x:c r="I23" s="40" t="n">
        <x:v>0.95</x:v>
      </x:c>
      <x:c r="J23" s="20" t="str">
        <x:v>DRAFT</x:v>
      </x:c>
      <x:c r="K23" s="20" t="str"/>
      <x:c r="L23" s="20" t="str">
        <x:v>Connectivity node GI GILIMANUK BUS B 150 kV.</x:v>
      </x:c>
    </x:row>
    <x:row r="24">
      <x:c r="A24" s="20" t="str">
        <x:v>CN-GIL-20-BUS</x:v>
      </x:c>
      <x:c r="B24" s="20" t="str">
        <x:v>cd25802f-e0c7-52d0-b17c-f704fe07e6cf</x:v>
      </x:c>
      <x:c r="C24" s="20" t="str">
        <x:v>ConnectivityNode</x:v>
      </x:c>
      <x:c r="D24" s="20" t="str">
        <x:v>GI GILIMANUK aggregate 20 kV bus</x:v>
      </x:c>
      <x:c r="E24" s="20" t="str">
        <x:v>GI GILIMANUK</x:v>
      </x:c>
      <x:c r="F24" s="20" t="n">
        <x:v>20</x:v>
      </x:c>
      <x:c r="G24" s="20" t="str"/>
      <x:c r="H24" s="20" t="str">
        <x:v>ASSUMED</x:v>
      </x:c>
      <x:c r="I24" s="40" t="n">
        <x:v>0.55</x:v>
      </x:c>
      <x:c r="J24" s="20" t="str">
        <x:v>DRAFT</x:v>
      </x:c>
      <x:c r="K24" s="20" t="str"/>
      <x:c r="L24" s="20" t="str">
        <x:v>Connectivity node GI GILIMANUK aggregate 20 kV bus.</x:v>
      </x:c>
    </x:row>
    <x:row r="25">
      <x:c r="A25" s="20" t="str">
        <x:v>GIL-150-BUS-A</x:v>
      </x:c>
      <x:c r="B25" s="20" t="str">
        <x:v>2d5e84a6-e29b-5d32-b3f9-42c342fdafbb</x:v>
      </x:c>
      <x:c r="C25" s="20" t="str">
        <x:v>BusbarSection</x:v>
      </x:c>
      <x:c r="D25" s="20" t="str">
        <x:v>BUSBAR A 150 kV GILIMANUK</x:v>
      </x:c>
      <x:c r="E25" s="20" t="str">
        <x:v>GI GILIMANUK</x:v>
      </x:c>
      <x:c r="F25" s="20" t="n">
        <x:v>150</x:v>
      </x:c>
      <x:c r="G25" s="20" t="str"/>
      <x:c r="H25" s="20" t="str">
        <x:v>SOURCE_NORMALIZED</x:v>
      </x:c>
      <x:c r="I25" s="40" t="n">
        <x:v>0.95</x:v>
      </x:c>
      <x:c r="J25" s="20" t="str">
        <x:v>DRAFT</x:v>
      </x:c>
      <x:c r="K25" s="20" t="str">
        <x:v>21836fcc-be7c-4348-8d93-b781355ddff7</x:v>
      </x:c>
      <x:c r="L25" s="20" t="str">
        <x:v>Canonical busbar A, normalized from the source object.</x:v>
      </x:c>
    </x:row>
    <x:row r="26">
      <x:c r="A26" s="20" t="str">
        <x:v>BUSBAR::GIL::A-T1</x:v>
      </x:c>
      <x:c r="B26" s="20" t="str">
        <x:v>5263dcd4-7226-51ee-b261-a61a2259e8b7</x:v>
      </x:c>
      <x:c r="C26" s="20" t="str">
        <x:v>Terminal</x:v>
      </x:c>
      <x:c r="D26" s="20" t="str">
        <x:v>1</x:v>
      </x:c>
      <x:c r="E26" s="20" t="str"/>
      <x:c r="F26" s="20" t="str"/>
      <x:c r="G26" s="20" t="str"/>
      <x:c r="H26" s="20" t="str">
        <x:v>SOURCE_NORMALIZED</x:v>
      </x:c>
      <x:c r="I26" s="40" t="n">
        <x:v>0.95</x:v>
      </x:c>
      <x:c r="J26" s="20" t="str">
        <x:v>DRAFT</x:v>
      </x:c>
      <x:c r="K26" s="20" t="str"/>
      <x:c r="L26" s="20" t="str">
        <x:v>Terminal 1 of BUSBAR A 150 kV GILIMANUK</x:v>
      </x:c>
    </x:row>
    <x:row r="27">
      <x:c r="A27" s="20" t="str">
        <x:v>GIL-150-BUS-B</x:v>
      </x:c>
      <x:c r="B27" s="20" t="str">
        <x:v>b7832fd1-0011-51b4-aa8e-36605b42c363</x:v>
      </x:c>
      <x:c r="C27" s="20" t="str">
        <x:v>BusbarSection</x:v>
      </x:c>
      <x:c r="D27" s="20" t="str">
        <x:v>BUSBAR B 150 kV GILIMANUK</x:v>
      </x:c>
      <x:c r="E27" s="20" t="str">
        <x:v>GI GILIMANUK</x:v>
      </x:c>
      <x:c r="F27" s="20" t="n">
        <x:v>150</x:v>
      </x:c>
      <x:c r="G27" s="20" t="str"/>
      <x:c r="H27" s="20" t="str">
        <x:v>SOURCE_NORMALIZED</x:v>
      </x:c>
      <x:c r="I27" s="40" t="n">
        <x:v>0.95</x:v>
      </x:c>
      <x:c r="J27" s="20" t="str">
        <x:v>DRAFT</x:v>
      </x:c>
      <x:c r="K27" s="20" t="str">
        <x:v>2ba4f319-a996-440e-99c4-43084db348ba</x:v>
      </x:c>
      <x:c r="L27" s="20" t="str">
        <x:v>Canonical busbar B, normalized from the source object.</x:v>
      </x:c>
    </x:row>
    <x:row r="28">
      <x:c r="A28" s="20" t="str">
        <x:v>BUSBAR::GIL::B-T1</x:v>
      </x:c>
      <x:c r="B28" s="20" t="str">
        <x:v>b09f2a03-cef5-5a3c-97fc-7eaa5ff612b6</x:v>
      </x:c>
      <x:c r="C28" s="20" t="str">
        <x:v>Terminal</x:v>
      </x:c>
      <x:c r="D28" s="20" t="str">
        <x:v>1</x:v>
      </x:c>
      <x:c r="E28" s="20" t="str"/>
      <x:c r="F28" s="20" t="str"/>
      <x:c r="G28" s="20" t="str"/>
      <x:c r="H28" s="20" t="str">
        <x:v>SOURCE_NORMALIZED</x:v>
      </x:c>
      <x:c r="I28" s="40" t="n">
        <x:v>0.95</x:v>
      </x:c>
      <x:c r="J28" s="20" t="str">
        <x:v>DRAFT</x:v>
      </x:c>
      <x:c r="K28" s="20" t="str"/>
      <x:c r="L28" s="20" t="str">
        <x:v>Terminal 1 of BUSBAR B 150 kV GILIMANUK</x:v>
      </x:c>
    </x:row>
    <x:row r="29">
      <x:c r="A29" s="20" t="str">
        <x:v>GIL-20-BUS</x:v>
      </x:c>
      <x:c r="B29" s="20" t="str">
        <x:v>c6b5ac43-a7a9-5bed-b2ce-ea135c28d733</x:v>
      </x:c>
      <x:c r="C29" s="20" t="str">
        <x:v>BusbarSection</x:v>
      </x:c>
      <x:c r="D29" s="20" t="str">
        <x:v>AGGREGATE BUS 20 kV GILIMANUK</x:v>
      </x:c>
      <x:c r="E29" s="20" t="str">
        <x:v>GI GILIMANUK</x:v>
      </x:c>
      <x:c r="F29" s="20" t="n">
        <x:v>20</x:v>
      </x:c>
      <x:c r="G29" s="20" t="str"/>
      <x:c r="H29" s="20" t="str">
        <x:v>ASSUMED</x:v>
      </x:c>
      <x:c r="I29" s="40" t="n">
        <x:v>0.55</x:v>
      </x:c>
      <x:c r="J29" s="20" t="str">
        <x:v>DRAFT</x:v>
      </x:c>
      <x:c r="K29" s="20" t="str"/>
      <x:c r="L29" s="20" t="str">
        <x:v>Provisional aggregate 20 kV bus used to terminate the pilot transformer model.</x:v>
      </x:c>
    </x:row>
    <x:row r="30">
      <x:c r="A30" s="20" t="str">
        <x:v>BUSBAR::GIL::20-T1</x:v>
      </x:c>
      <x:c r="B30" s="20" t="str">
        <x:v>c9964546-c23d-559c-a8ac-ebe895cfab3a</x:v>
      </x:c>
      <x:c r="C30" s="20" t="str">
        <x:v>Terminal</x:v>
      </x:c>
      <x:c r="D30" s="20" t="str">
        <x:v>1</x:v>
      </x:c>
      <x:c r="E30" s="20" t="str"/>
      <x:c r="F30" s="20" t="str"/>
      <x:c r="G30" s="20" t="str"/>
      <x:c r="H30" s="20" t="str">
        <x:v>ASSUMED</x:v>
      </x:c>
      <x:c r="I30" s="40" t="n">
        <x:v>0.55</x:v>
      </x:c>
      <x:c r="J30" s="20" t="str">
        <x:v>DRAFT</x:v>
      </x:c>
      <x:c r="K30" s="20" t="str"/>
      <x:c r="L30" s="20" t="str">
        <x:v>Terminal 1 of AGGREGATE BUS 20 kV GILIMANUK</x:v>
      </x:c>
    </x:row>
    <x:row r="31">
      <x:c r="A31" s="20" t="str">
        <x:v>GIL-150-BAY-COUPLER</x:v>
      </x:c>
      <x:c r="B31" s="20" t="str">
        <x:v>7f82cebb-84d6-5777-8458-3e28c0e11823</x:v>
      </x:c>
      <x:c r="C31" s="20" t="str">
        <x:v>Bay</x:v>
      </x:c>
      <x:c r="D31" s="20" t="str">
        <x:v>BUS COUPLER GILIMANUK 150 kV</x:v>
      </x:c>
      <x:c r="E31" s="20" t="str">
        <x:v>GI GILIMANUK</x:v>
      </x:c>
      <x:c r="F31" s="20" t="n">
        <x:v>150</x:v>
      </x:c>
      <x:c r="G31" s="20" t="str">
        <x:v>COUPLER</x:v>
      </x:c>
      <x:c r="H31" s="20" t="str">
        <x:v>SOURCE_RECAST</x:v>
      </x:c>
      <x:c r="I31" s="40" t="n">
        <x:v>0.7</x:v>
      </x:c>
      <x:c r="J31" s="20" t="str">
        <x:v>DRAFT</x:v>
      </x:c>
      <x:c r="K31" s="20" t="str">
        <x:v>3c888e69-5af8-44e5-bf6b-3fd433661088</x:v>
      </x:c>
      <x:c r="L31" s="20" t="str">
        <x:v>Canonical bus-coupler bay. Source KOPEL_BUS object is recast from BusbarSection.</x:v>
      </x:c>
    </x:row>
    <x:row r="32">
      <x:c r="A32" s="20" t="str">
        <x:v>CN-GIL-COUPLER-A</x:v>
      </x:c>
      <x:c r="B32" s="20" t="str">
        <x:v>3f8ba0df-8cbb-542f-8809-6228a22bfe6b</x:v>
      </x:c>
      <x:c r="C32" s="20" t="str">
        <x:v>ConnectivityNode</x:v>
      </x:c>
      <x:c r="D32" s="20" t="str">
        <x:v>Coupler node A</x:v>
      </x:c>
      <x:c r="E32" s="20" t="str">
        <x:v>GI GILIMANUK</x:v>
      </x:c>
      <x:c r="F32" s="20" t="n">
        <x:v>150</x:v>
      </x:c>
      <x:c r="G32" s="20" t="str">
        <x:v>COUPLER</x:v>
      </x:c>
      <x:c r="H32" s="20" t="str">
        <x:v>ASSUMED</x:v>
      </x:c>
      <x:c r="I32" s="40" t="n">
        <x:v>0.65</x:v>
      </x:c>
      <x:c r="J32" s="20" t="str">
        <x:v>DRAFT</x:v>
      </x:c>
      <x:c r="K32" s="20" t="str"/>
      <x:c r="L32" s="20" t="str">
        <x:v>Connectivity node Coupler node A.</x:v>
      </x:c>
    </x:row>
    <x:row r="33">
      <x:c r="A33" s="20" t="str">
        <x:v>CN-GIL-COUPLER-B</x:v>
      </x:c>
      <x:c r="B33" s="20" t="str">
        <x:v>fbb86fa9-6a38-5ec4-a717-82ae1605cf02</x:v>
      </x:c>
      <x:c r="C33" s="20" t="str">
        <x:v>ConnectivityNode</x:v>
      </x:c>
      <x:c r="D33" s="20" t="str">
        <x:v>Coupler node B</x:v>
      </x:c>
      <x:c r="E33" s="20" t="str">
        <x:v>GI GILIMANUK</x:v>
      </x:c>
      <x:c r="F33" s="20" t="n">
        <x:v>150</x:v>
      </x:c>
      <x:c r="G33" s="20" t="str">
        <x:v>COUPLER</x:v>
      </x:c>
      <x:c r="H33" s="20" t="str">
        <x:v>ASSUMED</x:v>
      </x:c>
      <x:c r="I33" s="40" t="n">
        <x:v>0.65</x:v>
      </x:c>
      <x:c r="J33" s="20" t="str">
        <x:v>DRAFT</x:v>
      </x:c>
      <x:c r="K33" s="20" t="str"/>
      <x:c r="L33" s="20" t="str">
        <x:v>Connectivity node Coupler node B.</x:v>
      </x:c>
    </x:row>
    <x:row r="34">
      <x:c r="A34" s="20" t="str">
        <x:v>GIL-150-COUPLER-DS-A</x:v>
      </x:c>
      <x:c r="B34" s="20" t="str">
        <x:v>f688d292-2d75-5436-9740-dfc271687e1c</x:v>
      </x:c>
      <x:c r="C34" s="20" t="str">
        <x:v>Disconnector</x:v>
      </x:c>
      <x:c r="D34" s="20" t="str">
        <x:v>DS BUS A COUPLER</x:v>
      </x:c>
      <x:c r="E34" s="20" t="str">
        <x:v>GI GILIMANUK</x:v>
      </x:c>
      <x:c r="F34" s="20" t="n">
        <x:v>150</x:v>
      </x:c>
      <x:c r="G34" s="20" t="str">
        <x:v>COUPLER</x:v>
      </x:c>
      <x:c r="H34" s="20" t="str">
        <x:v>ASSUMED</x:v>
      </x:c>
      <x:c r="I34" s="40" t="n">
        <x:v>0.65</x:v>
      </x:c>
      <x:c r="J34" s="20" t="str">
        <x:v>DRAFT</x:v>
      </x:c>
      <x:c r="K34" s="20" t="str"/>
      <x:c r="L34" s="20" t="str">
        <x:v>Assumed bus-A disconnector for the coupler bay.</x:v>
      </x:c>
    </x:row>
    <x:row r="35">
      <x:c r="A35" s="20" t="str">
        <x:v>DS::GIL::COUPLER::A-T1</x:v>
      </x:c>
      <x:c r="B35" s="20" t="str">
        <x:v>b0558cff-a31c-5008-8a23-070963fc65fd</x:v>
      </x:c>
      <x:c r="C35" s="20" t="str">
        <x:v>Terminal</x:v>
      </x:c>
      <x:c r="D35" s="20" t="str">
        <x:v>1</x:v>
      </x:c>
      <x:c r="E35" s="20" t="str"/>
      <x:c r="F35" s="20" t="str"/>
      <x:c r="G35" s="20" t="str"/>
      <x:c r="H35" s="20" t="str">
        <x:v>ASSUMED</x:v>
      </x:c>
      <x:c r="I35" s="40" t="n">
        <x:v>0.65</x:v>
      </x:c>
      <x:c r="J35" s="20" t="str">
        <x:v>DRAFT</x:v>
      </x:c>
      <x:c r="K35" s="20" t="str"/>
      <x:c r="L35" s="20" t="str">
        <x:v>Terminal 1 of DS BUS A COUPLER</x:v>
      </x:c>
    </x:row>
    <x:row r="36">
      <x:c r="A36" s="20" t="str">
        <x:v>DS::GIL::COUPLER::A-T2</x:v>
      </x:c>
      <x:c r="B36" s="20" t="str">
        <x:v>21d2466e-a923-536e-93cf-97ee419077fc</x:v>
      </x:c>
      <x:c r="C36" s="20" t="str">
        <x:v>Terminal</x:v>
      </x:c>
      <x:c r="D36" s="20" t="str">
        <x:v>2</x:v>
      </x:c>
      <x:c r="E36" s="20" t="str"/>
      <x:c r="F36" s="20" t="str"/>
      <x:c r="G36" s="20" t="str"/>
      <x:c r="H36" s="20" t="str">
        <x:v>ASSUMED</x:v>
      </x:c>
      <x:c r="I36" s="40" t="n">
        <x:v>0.65</x:v>
      </x:c>
      <x:c r="J36" s="20" t="str">
        <x:v>DRAFT</x:v>
      </x:c>
      <x:c r="K36" s="20" t="str"/>
      <x:c r="L36" s="20" t="str">
        <x:v>Terminal 2 of DS BUS A COUPLER</x:v>
      </x:c>
    </x:row>
    <x:row r="37">
      <x:c r="A37" s="20" t="str">
        <x:v>GIL-150-COUPLER-CB</x:v>
      </x:c>
      <x:c r="B37" s="20" t="str">
        <x:v>5507f35a-d9bc-5ee0-8bac-50c6a0734ca4</x:v>
      </x:c>
      <x:c r="C37" s="20" t="str">
        <x:v>Breaker</x:v>
      </x:c>
      <x:c r="D37" s="20" t="str">
        <x:v>CB BUS COUPLER</x:v>
      </x:c>
      <x:c r="E37" s="20" t="str">
        <x:v>GI GILIMANUK</x:v>
      </x:c>
      <x:c r="F37" s="20" t="n">
        <x:v>150</x:v>
      </x:c>
      <x:c r="G37" s="20" t="str">
        <x:v>COUPLER</x:v>
      </x:c>
      <x:c r="H37" s="20" t="str">
        <x:v>ASSUMED</x:v>
      </x:c>
      <x:c r="I37" s="40" t="n">
        <x:v>0.65</x:v>
      </x:c>
      <x:c r="J37" s="20" t="str">
        <x:v>DRAFT</x:v>
      </x:c>
      <x:c r="K37" s="20" t="str"/>
      <x:c r="L37" s="20" t="str">
        <x:v>Assumed circuit breaker for the bus-coupler bay.</x:v>
      </x:c>
    </x:row>
    <x:row r="38">
      <x:c r="A38" s="20" t="str">
        <x:v>CB::GIL::COUPLER-T1</x:v>
      </x:c>
      <x:c r="B38" s="20" t="str">
        <x:v>2f097197-b20c-5a27-bd94-c3c630b39706</x:v>
      </x:c>
      <x:c r="C38" s="20" t="str">
        <x:v>Terminal</x:v>
      </x:c>
      <x:c r="D38" s="20" t="str">
        <x:v>1</x:v>
      </x:c>
      <x:c r="E38" s="20" t="str"/>
      <x:c r="F38" s="20" t="str"/>
      <x:c r="G38" s="20" t="str"/>
      <x:c r="H38" s="20" t="str">
        <x:v>ASSUMED</x:v>
      </x:c>
      <x:c r="I38" s="40" t="n">
        <x:v>0.65</x:v>
      </x:c>
      <x:c r="J38" s="20" t="str">
        <x:v>DRAFT</x:v>
      </x:c>
      <x:c r="K38" s="20" t="str"/>
      <x:c r="L38" s="20" t="str">
        <x:v>Terminal 1 of CB BUS COUPLER</x:v>
      </x:c>
    </x:row>
    <x:row r="39">
      <x:c r="A39" s="20" t="str">
        <x:v>CB::GIL::COUPLER-T2</x:v>
      </x:c>
      <x:c r="B39" s="20" t="str">
        <x:v>a75474f8-2812-53a5-a15a-acae986f33a2</x:v>
      </x:c>
      <x:c r="C39" s="20" t="str">
        <x:v>Terminal</x:v>
      </x:c>
      <x:c r="D39" s="20" t="str">
        <x:v>2</x:v>
      </x:c>
      <x:c r="E39" s="20" t="str"/>
      <x:c r="F39" s="20" t="str"/>
      <x:c r="G39" s="20" t="str"/>
      <x:c r="H39" s="20" t="str">
        <x:v>ASSUMED</x:v>
      </x:c>
      <x:c r="I39" s="40" t="n">
        <x:v>0.65</x:v>
      </x:c>
      <x:c r="J39" s="20" t="str">
        <x:v>DRAFT</x:v>
      </x:c>
      <x:c r="K39" s="20" t="str"/>
      <x:c r="L39" s="20" t="str">
        <x:v>Terminal 2 of CB BUS COUPLER</x:v>
      </x:c>
    </x:row>
    <x:row r="40">
      <x:c r="A40" s="20" t="str">
        <x:v>GIL-150-COUPLER-DS-B</x:v>
      </x:c>
      <x:c r="B40" s="20" t="str">
        <x:v>f91e6699-9a1a-5e78-bac5-1417b6565ed3</x:v>
      </x:c>
      <x:c r="C40" s="20" t="str">
        <x:v>Disconnector</x:v>
      </x:c>
      <x:c r="D40" s="20" t="str">
        <x:v>DS BUS B COUPLER</x:v>
      </x:c>
      <x:c r="E40" s="20" t="str">
        <x:v>GI GILIMANUK</x:v>
      </x:c>
      <x:c r="F40" s="20" t="n">
        <x:v>150</x:v>
      </x:c>
      <x:c r="G40" s="20" t="str">
        <x:v>COUPLER</x:v>
      </x:c>
      <x:c r="H40" s="20" t="str">
        <x:v>ASSUMED</x:v>
      </x:c>
      <x:c r="I40" s="40" t="n">
        <x:v>0.65</x:v>
      </x:c>
      <x:c r="J40" s="20" t="str">
        <x:v>DRAFT</x:v>
      </x:c>
      <x:c r="K40" s="20" t="str"/>
      <x:c r="L40" s="20" t="str">
        <x:v>Assumed bus-B disconnector for the coupler bay.</x:v>
      </x:c>
    </x:row>
    <x:row r="41">
      <x:c r="A41" s="20" t="str">
        <x:v>DS::GIL::COUPLER::B-T1</x:v>
      </x:c>
      <x:c r="B41" s="20" t="str">
        <x:v>34950772-f358-5513-972b-aafa6b87e740</x:v>
      </x:c>
      <x:c r="C41" s="20" t="str">
        <x:v>Terminal</x:v>
      </x:c>
      <x:c r="D41" s="20" t="str">
        <x:v>1</x:v>
      </x:c>
      <x:c r="E41" s="20" t="str"/>
      <x:c r="F41" s="20" t="str"/>
      <x:c r="G41" s="20" t="str"/>
      <x:c r="H41" s="20" t="str">
        <x:v>ASSUMED</x:v>
      </x:c>
      <x:c r="I41" s="40" t="n">
        <x:v>0.65</x:v>
      </x:c>
      <x:c r="J41" s="20" t="str">
        <x:v>DRAFT</x:v>
      </x:c>
      <x:c r="K41" s="20" t="str"/>
      <x:c r="L41" s="20" t="str">
        <x:v>Terminal 1 of DS BUS B COUPLER</x:v>
      </x:c>
    </x:row>
    <x:row r="42">
      <x:c r="A42" s="20" t="str">
        <x:v>DS::GIL::COUPLER::B-T2</x:v>
      </x:c>
      <x:c r="B42" s="20" t="str">
        <x:v>208c7dc2-8df0-51fd-b63c-52627a77489d</x:v>
      </x:c>
      <x:c r="C42" s="20" t="str">
        <x:v>Terminal</x:v>
      </x:c>
      <x:c r="D42" s="20" t="str">
        <x:v>2</x:v>
      </x:c>
      <x:c r="E42" s="20" t="str"/>
      <x:c r="F42" s="20" t="str"/>
      <x:c r="G42" s="20" t="str"/>
      <x:c r="H42" s="20" t="str">
        <x:v>ASSUMED</x:v>
      </x:c>
      <x:c r="I42" s="40" t="n">
        <x:v>0.65</x:v>
      </x:c>
      <x:c r="J42" s="20" t="str">
        <x:v>DRAFT</x:v>
      </x:c>
      <x:c r="K42" s="20" t="str"/>
      <x:c r="L42" s="20" t="str">
        <x:v>Terminal 2 of DS BUS B COUPLER</x:v>
      </x:c>
    </x:row>
    <x:row r="43">
      <x:c r="A43" s="20" t="str">
        <x:v>GIL-150-BAY-BWI-C1</x:v>
      </x:c>
      <x:c r="B43" s="20" t="str">
        <x:v>9d57ac94-25b9-54f4-be95-b45139d30f73</x:v>
      </x:c>
      <x:c r="C43" s="20" t="str">
        <x:v>Bay</x:v>
      </x:c>
      <x:c r="D43" s="20" t="str">
        <x:v>LINE BAY BWI-C1 GILIMANUK</x:v>
      </x:c>
      <x:c r="E43" s="20" t="str">
        <x:v>GI GILIMANUK</x:v>
      </x:c>
      <x:c r="F43" s="20" t="n">
        <x:v>150</x:v>
      </x:c>
      <x:c r="G43" s="20" t="str">
        <x:v>BWI-C1</x:v>
      </x:c>
      <x:c r="H43" s="20" t="str">
        <x:v>SLD_DERIVED</x:v>
      </x:c>
      <x:c r="I43" s="40" t="n">
        <x:v>0.75</x:v>
      </x:c>
      <x:c r="J43" s="20" t="str">
        <x:v>DRAFT</x:v>
      </x:c>
      <x:c r="K43" s="20" t="str">
        <x:v>9aecb5fd-bad3-4650-ad5f-34062765b516</x:v>
      </x:c>
      <x:c r="L43" s="20" t="str">
        <x:v>Canonical local line bay for GILIMANUK–GI BANYUWANGI circuit 1.</x:v>
      </x:c>
    </x:row>
    <x:row r="44">
      <x:c r="A44" s="20" t="str">
        <x:v>CN-GIL-BWI-C1-SELECT</x:v>
      </x:c>
      <x:c r="B44" s="20" t="str">
        <x:v>63de9b5c-47b3-53cb-bdbf-fed3b7dafa45</x:v>
      </x:c>
      <x:c r="C44" s="20" t="str">
        <x:v>ConnectivityNode</x:v>
      </x:c>
      <x:c r="D44" s="20" t="str">
        <x:v>BWI-C1 bus-selection node</x:v>
      </x:c>
      <x:c r="E44" s="20" t="str">
        <x:v>GI GILIMANUK</x:v>
      </x:c>
      <x:c r="F44" s="20" t="n">
        <x:v>150</x:v>
      </x:c>
      <x:c r="G44" s="20" t="str">
        <x:v>BWI-C1</x:v>
      </x:c>
      <x:c r="H44" s="20" t="str">
        <x:v>ASSUMED</x:v>
      </x:c>
      <x:c r="I44" s="40" t="n">
        <x:v>0.65</x:v>
      </x:c>
      <x:c r="J44" s="20" t="str">
        <x:v>DRAFT</x:v>
      </x:c>
      <x:c r="K44" s="20" t="str"/>
      <x:c r="L44" s="20" t="str">
        <x:v>Connectivity node BWI-C1 bus-selection node.</x:v>
      </x:c>
    </x:row>
    <x:row r="45">
      <x:c r="A45" s="20" t="str">
        <x:v>CN-GIL-BWI-C1-CB-LINE</x:v>
      </x:c>
      <x:c r="B45" s="20" t="str">
        <x:v>dbe4b1b8-2b22-530c-8b25-7007a87880cd</x:v>
      </x:c>
      <x:c r="C45" s="20" t="str">
        <x:v>ConnectivityNode</x:v>
      </x:c>
      <x:c r="D45" s="20" t="str">
        <x:v>BWI-C1 breaker-line node</x:v>
      </x:c>
      <x:c r="E45" s="20" t="str">
        <x:v>GI GILIMANUK</x:v>
      </x:c>
      <x:c r="F45" s="20" t="n">
        <x:v>150</x:v>
      </x:c>
      <x:c r="G45" s="20" t="str">
        <x:v>BWI-C1</x:v>
      </x:c>
      <x:c r="H45" s="20" t="str">
        <x:v>ASSUMED</x:v>
      </x:c>
      <x:c r="I45" s="40" t="n">
        <x:v>0.65</x:v>
      </x:c>
      <x:c r="J45" s="20" t="str">
        <x:v>DRAFT</x:v>
      </x:c>
      <x:c r="K45" s="20" t="str"/>
      <x:c r="L45" s="20" t="str">
        <x:v>Connectivity node BWI-C1 breaker-line node.</x:v>
      </x:c>
    </x:row>
    <x:row r="46">
      <x:c r="A46" s="20" t="str">
        <x:v>CN-GIL-BWI-C1-LINE-END</x:v>
      </x:c>
      <x:c r="B46" s="20" t="str">
        <x:v>bfbe875d-3788-51cb-8ab1-37586102c301</x:v>
      </x:c>
      <x:c r="C46" s="20" t="str">
        <x:v>ConnectivityNode</x:v>
      </x:c>
      <x:c r="D46" s="20" t="str">
        <x:v>BWI-C1 local line-end node</x:v>
      </x:c>
      <x:c r="E46" s="20" t="str">
        <x:v>GI GILIMANUK</x:v>
      </x:c>
      <x:c r="F46" s="20" t="n">
        <x:v>150</x:v>
      </x:c>
      <x:c r="G46" s="20" t="str">
        <x:v>BWI-C1</x:v>
      </x:c>
      <x:c r="H46" s="20" t="str">
        <x:v>SLD_DERIVED</x:v>
      </x:c>
      <x:c r="I46" s="40" t="n">
        <x:v>0.75</x:v>
      </x:c>
      <x:c r="J46" s="20" t="str">
        <x:v>DRAFT</x:v>
      </x:c>
      <x:c r="K46" s="20" t="str"/>
      <x:c r="L46" s="20" t="str">
        <x:v>Connectivity node BWI-C1 local line-end node.</x:v>
      </x:c>
    </x:row>
    <x:row r="47">
      <x:c r="A47" s="20" t="str">
        <x:v>CN-BWI-BWI-C1-BOUNDARY</x:v>
      </x:c>
      <x:c r="B47" s="20" t="str">
        <x:v>d7c1955f-016a-51b0-acf5-ba469c3a1beb</x:v>
      </x:c>
      <x:c r="C47" s="20" t="str">
        <x:v>ConnectivityNode</x:v>
      </x:c>
      <x:c r="D47" s="20" t="str">
        <x:v>GI BANYUWANGI BWI-C1 boundary node</x:v>
      </x:c>
      <x:c r="E47" s="20" t="str">
        <x:v>GI BANYUWANGI</x:v>
      </x:c>
      <x:c r="F47" s="20" t="n">
        <x:v>150</x:v>
      </x:c>
      <x:c r="G47" s="20" t="str">
        <x:v>BWI-C1</x:v>
      </x:c>
      <x:c r="H47" s="20" t="str">
        <x:v>SLD_DERIVED</x:v>
      </x:c>
      <x:c r="I47" s="40" t="n">
        <x:v>0.75</x:v>
      </x:c>
      <x:c r="J47" s="20" t="str">
        <x:v>DRAFT</x:v>
      </x:c>
      <x:c r="K47" s="20" t="str"/>
      <x:c r="L47" s="20" t="str">
        <x:v>Connectivity node GI BANYUWANGI BWI-C1 boundary node.</x:v>
      </x:c>
    </x:row>
    <x:row r="48">
      <x:c r="A48" s="20" t="str">
        <x:v>GIL-150-BWI-C1-DS-A</x:v>
      </x:c>
      <x:c r="B48" s="20" t="str">
        <x:v>ef8d5098-b448-5561-bd3d-4174895f7126</x:v>
      </x:c>
      <x:c r="C48" s="20" t="str">
        <x:v>Disconnector</x:v>
      </x:c>
      <x:c r="D48" s="20" t="str">
        <x:v>DS BUS A BWI-C1</x:v>
      </x:c>
      <x:c r="E48" s="20" t="str">
        <x:v>GI GILIMANUK</x:v>
      </x:c>
      <x:c r="F48" s="20" t="n">
        <x:v>150</x:v>
      </x:c>
      <x:c r="G48" s="20" t="str">
        <x:v>BWI-C1</x:v>
      </x:c>
      <x:c r="H48" s="20" t="str">
        <x:v>ASSUMED</x:v>
      </x:c>
      <x:c r="I48" s="40" t="n">
        <x:v>0.65</x:v>
      </x:c>
      <x:c r="J48" s="20" t="str">
        <x:v>DRAFT</x:v>
      </x:c>
      <x:c r="K48" s="20" t="str"/>
      <x:c r="L48" s="20" t="str">
        <x:v>Provisional bus-A selector disconnector generated from the standard double-bus single-breaker bay template.</x:v>
      </x:c>
    </x:row>
    <x:row r="49">
      <x:c r="A49" s="20" t="str">
        <x:v>DS::GIL::BWI-C1::BUS-A-T1</x:v>
      </x:c>
      <x:c r="B49" s="20" t="str">
        <x:v>ca2e5935-56d6-5f8c-a252-2407376362bd</x:v>
      </x:c>
      <x:c r="C49" s="20" t="str">
        <x:v>Terminal</x:v>
      </x:c>
      <x:c r="D49" s="20" t="str">
        <x:v>1</x:v>
      </x:c>
      <x:c r="E49" s="20" t="str"/>
      <x:c r="F49" s="20" t="str"/>
      <x:c r="G49" s="20" t="str"/>
      <x:c r="H49" s="20" t="str">
        <x:v>ASSUMED</x:v>
      </x:c>
      <x:c r="I49" s="40" t="n">
        <x:v>0.65</x:v>
      </x:c>
      <x:c r="J49" s="20" t="str">
        <x:v>DRAFT</x:v>
      </x:c>
      <x:c r="K49" s="20" t="str"/>
      <x:c r="L49" s="20" t="str">
        <x:v>Terminal 1 of DS BUS A BWI-C1</x:v>
      </x:c>
    </x:row>
    <x:row r="50">
      <x:c r="A50" s="20" t="str">
        <x:v>DS::GIL::BWI-C1::BUS-A-T2</x:v>
      </x:c>
      <x:c r="B50" s="20" t="str">
        <x:v>fd5d4077-ab5d-5cd4-9486-57b5ed9a82bd</x:v>
      </x:c>
      <x:c r="C50" s="20" t="str">
        <x:v>Terminal</x:v>
      </x:c>
      <x:c r="D50" s="20" t="str">
        <x:v>2</x:v>
      </x:c>
      <x:c r="E50" s="20" t="str"/>
      <x:c r="F50" s="20" t="str"/>
      <x:c r="G50" s="20" t="str"/>
      <x:c r="H50" s="20" t="str">
        <x:v>ASSUMED</x:v>
      </x:c>
      <x:c r="I50" s="40" t="n">
        <x:v>0.65</x:v>
      </x:c>
      <x:c r="J50" s="20" t="str">
        <x:v>DRAFT</x:v>
      </x:c>
      <x:c r="K50" s="20" t="str"/>
      <x:c r="L50" s="20" t="str">
        <x:v>Terminal 2 of DS BUS A BWI-C1</x:v>
      </x:c>
    </x:row>
    <x:row r="51">
      <x:c r="A51" s="20" t="str">
        <x:v>GIL-150-BWI-C1-DS-B</x:v>
      </x:c>
      <x:c r="B51" s="20" t="str">
        <x:v>9dcc6c85-8f45-56d3-868c-9558cba873d6</x:v>
      </x:c>
      <x:c r="C51" s="20" t="str">
        <x:v>Disconnector</x:v>
      </x:c>
      <x:c r="D51" s="20" t="str">
        <x:v>DS BUS B BWI-C1</x:v>
      </x:c>
      <x:c r="E51" s="20" t="str">
        <x:v>GI GILIMANUK</x:v>
      </x:c>
      <x:c r="F51" s="20" t="n">
        <x:v>150</x:v>
      </x:c>
      <x:c r="G51" s="20" t="str">
        <x:v>BWI-C1</x:v>
      </x:c>
      <x:c r="H51" s="20" t="str">
        <x:v>ASSUMED</x:v>
      </x:c>
      <x:c r="I51" s="40" t="n">
        <x:v>0.65</x:v>
      </x:c>
      <x:c r="J51" s="20" t="str">
        <x:v>DRAFT</x:v>
      </x:c>
      <x:c r="K51" s="20" t="str"/>
      <x:c r="L51" s="20" t="str">
        <x:v>Provisional bus-B selector disconnector generated from the standard double-bus single-breaker bay template.</x:v>
      </x:c>
    </x:row>
    <x:row r="52">
      <x:c r="A52" s="20" t="str">
        <x:v>DS::GIL::BWI-C1::BUS-B-T1</x:v>
      </x:c>
      <x:c r="B52" s="20" t="str">
        <x:v>5f330db1-d1dd-5c12-8c0a-3bcb995ebfe2</x:v>
      </x:c>
      <x:c r="C52" s="20" t="str">
        <x:v>Terminal</x:v>
      </x:c>
      <x:c r="D52" s="20" t="str">
        <x:v>1</x:v>
      </x:c>
      <x:c r="E52" s="20" t="str"/>
      <x:c r="F52" s="20" t="str"/>
      <x:c r="G52" s="20" t="str"/>
      <x:c r="H52" s="20" t="str">
        <x:v>ASSUMED</x:v>
      </x:c>
      <x:c r="I52" s="40" t="n">
        <x:v>0.65</x:v>
      </x:c>
      <x:c r="J52" s="20" t="str">
        <x:v>DRAFT</x:v>
      </x:c>
      <x:c r="K52" s="20" t="str"/>
      <x:c r="L52" s="20" t="str">
        <x:v>Terminal 1 of DS BUS B BWI-C1</x:v>
      </x:c>
    </x:row>
    <x:row r="53">
      <x:c r="A53" s="20" t="str">
        <x:v>DS::GIL::BWI-C1::BUS-B-T2</x:v>
      </x:c>
      <x:c r="B53" s="20" t="str">
        <x:v>b8b98b9e-9a21-585d-8b8c-b2fa4a09830f</x:v>
      </x:c>
      <x:c r="C53" s="20" t="str">
        <x:v>Terminal</x:v>
      </x:c>
      <x:c r="D53" s="20" t="str">
        <x:v>2</x:v>
      </x:c>
      <x:c r="E53" s="20" t="str"/>
      <x:c r="F53" s="20" t="str"/>
      <x:c r="G53" s="20" t="str"/>
      <x:c r="H53" s="20" t="str">
        <x:v>ASSUMED</x:v>
      </x:c>
      <x:c r="I53" s="40" t="n">
        <x:v>0.65</x:v>
      </x:c>
      <x:c r="J53" s="20" t="str">
        <x:v>DRAFT</x:v>
      </x:c>
      <x:c r="K53" s="20" t="str"/>
      <x:c r="L53" s="20" t="str">
        <x:v>Terminal 2 of DS BUS B BWI-C1</x:v>
      </x:c>
    </x:row>
    <x:row r="54">
      <x:c r="A54" s="20" t="str">
        <x:v>GIL-150-BWI-C1-CB</x:v>
      </x:c>
      <x:c r="B54" s="20" t="str">
        <x:v>c19a6dcb-a872-5b33-8d06-93ef7d3ea066</x:v>
      </x:c>
      <x:c r="C54" s="20" t="str">
        <x:v>Breaker</x:v>
      </x:c>
      <x:c r="D54" s="20" t="str">
        <x:v>CB BWI-C1</x:v>
      </x:c>
      <x:c r="E54" s="20" t="str">
        <x:v>GI GILIMANUK</x:v>
      </x:c>
      <x:c r="F54" s="20" t="n">
        <x:v>150</x:v>
      </x:c>
      <x:c r="G54" s="20" t="str">
        <x:v>BWI-C1</x:v>
      </x:c>
      <x:c r="H54" s="20" t="str">
        <x:v>ASSUMED</x:v>
      </x:c>
      <x:c r="I54" s="40" t="n">
        <x:v>0.7</x:v>
      </x:c>
      <x:c r="J54" s="20" t="str">
        <x:v>DRAFT</x:v>
      </x:c>
      <x:c r="K54" s="20" t="str"/>
      <x:c r="L54" s="20" t="str">
        <x:v>Provisional line circuit breaker generated from the SLD bay position.</x:v>
      </x:c>
    </x:row>
    <x:row r="55">
      <x:c r="A55" s="20" t="str">
        <x:v>CB::GIL::BWI-C1-T1</x:v>
      </x:c>
      <x:c r="B55" s="20" t="str">
        <x:v>58b79650-9acc-57f0-b8ed-b47ea58da74e</x:v>
      </x:c>
      <x:c r="C55" s="20" t="str">
        <x:v>Terminal</x:v>
      </x:c>
      <x:c r="D55" s="20" t="str">
        <x:v>1</x:v>
      </x:c>
      <x:c r="E55" s="20" t="str"/>
      <x:c r="F55" s="20" t="str"/>
      <x:c r="G55" s="20" t="str"/>
      <x:c r="H55" s="20" t="str">
        <x:v>ASSUMED</x:v>
      </x:c>
      <x:c r="I55" s="40" t="n">
        <x:v>0.7</x:v>
      </x:c>
      <x:c r="J55" s="20" t="str">
        <x:v>DRAFT</x:v>
      </x:c>
      <x:c r="K55" s="20" t="str"/>
      <x:c r="L55" s="20" t="str">
        <x:v>Terminal 1 of CB BWI-C1</x:v>
      </x:c>
    </x:row>
    <x:row r="56">
      <x:c r="A56" s="20" t="str">
        <x:v>CB::GIL::BWI-C1-T2</x:v>
      </x:c>
      <x:c r="B56" s="20" t="str">
        <x:v>aedf379a-9fdd-51aa-8f19-062af4eeb3f8</x:v>
      </x:c>
      <x:c r="C56" s="20" t="str">
        <x:v>Terminal</x:v>
      </x:c>
      <x:c r="D56" s="20" t="str">
        <x:v>2</x:v>
      </x:c>
      <x:c r="E56" s="20" t="str"/>
      <x:c r="F56" s="20" t="str"/>
      <x:c r="G56" s="20" t="str"/>
      <x:c r="H56" s="20" t="str">
        <x:v>ASSUMED</x:v>
      </x:c>
      <x:c r="I56" s="40" t="n">
        <x:v>0.7</x:v>
      </x:c>
      <x:c r="J56" s="20" t="str">
        <x:v>DRAFT</x:v>
      </x:c>
      <x:c r="K56" s="20" t="str"/>
      <x:c r="L56" s="20" t="str">
        <x:v>Terminal 2 of CB BWI-C1</x:v>
      </x:c>
    </x:row>
    <x:row r="57">
      <x:c r="A57" s="20" t="str">
        <x:v>GIL-150-BWI-C1-DS-LINE</x:v>
      </x:c>
      <x:c r="B57" s="20" t="str">
        <x:v>872543f6-a33e-5162-a296-621d43fe8753</x:v>
      </x:c>
      <x:c r="C57" s="20" t="str">
        <x:v>Disconnector</x:v>
      </x:c>
      <x:c r="D57" s="20" t="str">
        <x:v>DS LINE BWI-C1</x:v>
      </x:c>
      <x:c r="E57" s="20" t="str">
        <x:v>GI GILIMANUK</x:v>
      </x:c>
      <x:c r="F57" s="20" t="n">
        <x:v>150</x:v>
      </x:c>
      <x:c r="G57" s="20" t="str">
        <x:v>BWI-C1</x:v>
      </x:c>
      <x:c r="H57" s="20" t="str">
        <x:v>ASSUMED</x:v>
      </x:c>
      <x:c r="I57" s="40" t="n">
        <x:v>0.65</x:v>
      </x:c>
      <x:c r="J57" s="20" t="str">
        <x:v>DRAFT</x:v>
      </x:c>
      <x:c r="K57" s="20" t="str"/>
      <x:c r="L57" s="20" t="str">
        <x:v>Provisional line-side disconnector generated from the standard bay template.</x:v>
      </x:c>
    </x:row>
    <x:row r="58">
      <x:c r="A58" s="20" t="str">
        <x:v>DS::GIL::BWI-C1::LINE-T1</x:v>
      </x:c>
      <x:c r="B58" s="20" t="str">
        <x:v>91b83c89-2132-51c9-8f30-3758eee2cff8</x:v>
      </x:c>
      <x:c r="C58" s="20" t="str">
        <x:v>Terminal</x:v>
      </x:c>
      <x:c r="D58" s="20" t="str">
        <x:v>1</x:v>
      </x:c>
      <x:c r="E58" s="20" t="str"/>
      <x:c r="F58" s="20" t="str"/>
      <x:c r="G58" s="20" t="str"/>
      <x:c r="H58" s="20" t="str">
        <x:v>ASSUMED</x:v>
      </x:c>
      <x:c r="I58" s="40" t="n">
        <x:v>0.65</x:v>
      </x:c>
      <x:c r="J58" s="20" t="str">
        <x:v>DRAFT</x:v>
      </x:c>
      <x:c r="K58" s="20" t="str"/>
      <x:c r="L58" s="20" t="str">
        <x:v>Terminal 1 of DS LINE BWI-C1</x:v>
      </x:c>
    </x:row>
    <x:row r="59">
      <x:c r="A59" s="20" t="str">
        <x:v>DS::GIL::BWI-C1::LINE-T2</x:v>
      </x:c>
      <x:c r="B59" s="20" t="str">
        <x:v>b3e4294e-3d26-587f-9968-f03f43edf5fa</x:v>
      </x:c>
      <x:c r="C59" s="20" t="str">
        <x:v>Terminal</x:v>
      </x:c>
      <x:c r="D59" s="20" t="str">
        <x:v>2</x:v>
      </x:c>
      <x:c r="E59" s="20" t="str"/>
      <x:c r="F59" s="20" t="str"/>
      <x:c r="G59" s="20" t="str"/>
      <x:c r="H59" s="20" t="str">
        <x:v>ASSUMED</x:v>
      </x:c>
      <x:c r="I59" s="40" t="n">
        <x:v>0.65</x:v>
      </x:c>
      <x:c r="J59" s="20" t="str">
        <x:v>DRAFT</x:v>
      </x:c>
      <x:c r="K59" s="20" t="str"/>
      <x:c r="L59" s="20" t="str">
        <x:v>Terminal 2 of DS LINE BWI-C1</x:v>
      </x:c>
    </x:row>
    <x:row r="60">
      <x:c r="A60" s="20" t="str">
        <x:v>LINE-GIL-BWI-C1</x:v>
      </x:c>
      <x:c r="B60" s="20" t="str">
        <x:v>4f11f1fd-937d-5dbd-9070-3f8829d116ef</x:v>
      </x:c>
      <x:c r="C60" s="20" t="str">
        <x:v>Line</x:v>
      </x:c>
      <x:c r="D60" s="20" t="str">
        <x:v>LINE GILIMANUK–GI BANYUWANGI BWI-C1</x:v>
      </x:c>
      <x:c r="E60" s="20" t="str"/>
      <x:c r="F60" s="20" t="str"/>
      <x:c r="G60" s="20" t="str"/>
      <x:c r="H60" s="20" t="str">
        <x:v>SLD_DERIVED</x:v>
      </x:c>
      <x:c r="I60" s="40" t="n">
        <x:v>0.75</x:v>
      </x:c>
      <x:c r="J60" s="20" t="str">
        <x:v>DRAFT</x:v>
      </x:c>
      <x:c r="K60" s="20" t="str"/>
      <x:c r="L60" s="20" t="str">
        <x:v>Canonical line container for circuit BWI-C1.</x:v>
      </x:c>
    </x:row>
    <x:row r="61">
      <x:c r="A61" s="20" t="str">
        <x:v>GIL-BWI-150-C1</x:v>
      </x:c>
      <x:c r="B61" s="20" t="str">
        <x:v>4de08e14-06a1-57c7-b790-29ea15edf63d</x:v>
      </x:c>
      <x:c r="C61" s="20" t="str">
        <x:v>ACLineSegment</x:v>
      </x:c>
      <x:c r="D61" s="20" t="str">
        <x:v>AC LINE BWI-C1</x:v>
      </x:c>
      <x:c r="E61" s="20" t="str">
        <x:v>INTER-GI</x:v>
      </x:c>
      <x:c r="F61" s="20" t="n">
        <x:v>150</x:v>
      </x:c>
      <x:c r="G61" s="20" t="str">
        <x:v>BWI-C1</x:v>
      </x:c>
      <x:c r="H61" s="20" t="str">
        <x:v>SLD_AND_SOURCE_RECONCILED</x:v>
      </x:c>
      <x:c r="I61" s="40" t="n">
        <x:v>0.75</x:v>
      </x:c>
      <x:c r="J61" s="20" t="str">
        <x:v>DRAFT</x:v>
      </x:c>
      <x:c r="K61" s="20" t="str">
        <x:v>9aecb5fd-bad3-4650-ad5f-34062765b516</x:v>
      </x:c>
      <x:c r="L61" s="20" t="str">
        <x:v>Canonical ACLineSegment GILIMANUK–GI BANYUWANGI circuit 1.</x:v>
      </x:c>
    </x:row>
    <x:row r="62">
      <x:c r="A62" s="20" t="str">
        <x:v>ACLINE::BWI-C1-T1</x:v>
      </x:c>
      <x:c r="B62" s="20" t="str">
        <x:v>089aeece-abe7-5c08-869e-be1e54757a02</x:v>
      </x:c>
      <x:c r="C62" s="20" t="str">
        <x:v>Terminal</x:v>
      </x:c>
      <x:c r="D62" s="20" t="str">
        <x:v>1</x:v>
      </x:c>
      <x:c r="E62" s="20" t="str"/>
      <x:c r="F62" s="20" t="str"/>
      <x:c r="G62" s="20" t="str"/>
      <x:c r="H62" s="20" t="str">
        <x:v>SLD_AND_SOURCE_RECONCILED</x:v>
      </x:c>
      <x:c r="I62" s="40" t="n">
        <x:v>0.75</x:v>
      </x:c>
      <x:c r="J62" s="20" t="str">
        <x:v>DRAFT</x:v>
      </x:c>
      <x:c r="K62" s="20" t="str"/>
      <x:c r="L62" s="20" t="str">
        <x:v>Terminal 1 of AC LINE BWI-C1</x:v>
      </x:c>
    </x:row>
    <x:row r="63">
      <x:c r="A63" s="20" t="str">
        <x:v>ACLINE::BWI-C1-T2</x:v>
      </x:c>
      <x:c r="B63" s="20" t="str">
        <x:v>6f288005-858b-57ed-b7af-4ab7de3e7ac4</x:v>
      </x:c>
      <x:c r="C63" s="20" t="str">
        <x:v>Terminal</x:v>
      </x:c>
      <x:c r="D63" s="20" t="str">
        <x:v>2</x:v>
      </x:c>
      <x:c r="E63" s="20" t="str"/>
      <x:c r="F63" s="20" t="str"/>
      <x:c r="G63" s="20" t="str"/>
      <x:c r="H63" s="20" t="str">
        <x:v>SLD_AND_SOURCE_RECONCILED</x:v>
      </x:c>
      <x:c r="I63" s="40" t="n">
        <x:v>0.75</x:v>
      </x:c>
      <x:c r="J63" s="20" t="str">
        <x:v>DRAFT</x:v>
      </x:c>
      <x:c r="K63" s="20" t="str"/>
      <x:c r="L63" s="20" t="str">
        <x:v>Terminal 2 of AC LINE BWI-C1</x:v>
      </x:c>
    </x:row>
    <x:row r="64">
      <x:c r="A64" s="20" t="str">
        <x:v>GIL-150-BAY-BWI-C2</x:v>
      </x:c>
      <x:c r="B64" s="20" t="str">
        <x:v>269abae8-10c7-5b8f-a672-fa96f9f32432</x:v>
      </x:c>
      <x:c r="C64" s="20" t="str">
        <x:v>Bay</x:v>
      </x:c>
      <x:c r="D64" s="20" t="str">
        <x:v>LINE BAY BWI-C2 GILIMANUK</x:v>
      </x:c>
      <x:c r="E64" s="20" t="str">
        <x:v>GI GILIMANUK</x:v>
      </x:c>
      <x:c r="F64" s="20" t="n">
        <x:v>150</x:v>
      </x:c>
      <x:c r="G64" s="20" t="str">
        <x:v>BWI-C2</x:v>
      </x:c>
      <x:c r="H64" s="20" t="str">
        <x:v>SLD_DERIVED</x:v>
      </x:c>
      <x:c r="I64" s="40" t="n">
        <x:v>0.75</x:v>
      </x:c>
      <x:c r="J64" s="20" t="str">
        <x:v>DRAFT</x:v>
      </x:c>
      <x:c r="K64" s="20" t="str">
        <x:v>f15a2fdf-e93a-499e-a6b4-6fbc366d4645</x:v>
      </x:c>
      <x:c r="L64" s="20" t="str">
        <x:v>Canonical local line bay for GILIMANUK–GI BANYUWANGI circuit 2.</x:v>
      </x:c>
    </x:row>
    <x:row r="65">
      <x:c r="A65" s="20" t="str">
        <x:v>CN-GIL-BWI-C2-SELECT</x:v>
      </x:c>
      <x:c r="B65" s="20" t="str">
        <x:v>1f64ce9e-bc52-5535-8d74-3ffeed715b9b</x:v>
      </x:c>
      <x:c r="C65" s="20" t="str">
        <x:v>ConnectivityNode</x:v>
      </x:c>
      <x:c r="D65" s="20" t="str">
        <x:v>BWI-C2 bus-selection node</x:v>
      </x:c>
      <x:c r="E65" s="20" t="str">
        <x:v>GI GILIMANUK</x:v>
      </x:c>
      <x:c r="F65" s="20" t="n">
        <x:v>150</x:v>
      </x:c>
      <x:c r="G65" s="20" t="str">
        <x:v>BWI-C2</x:v>
      </x:c>
      <x:c r="H65" s="20" t="str">
        <x:v>ASSUMED</x:v>
      </x:c>
      <x:c r="I65" s="40" t="n">
        <x:v>0.65</x:v>
      </x:c>
      <x:c r="J65" s="20" t="str">
        <x:v>DRAFT</x:v>
      </x:c>
      <x:c r="K65" s="20" t="str"/>
      <x:c r="L65" s="20" t="str">
        <x:v>Connectivity node BWI-C2 bus-selection node.</x:v>
      </x:c>
    </x:row>
    <x:row r="66">
      <x:c r="A66" s="20" t="str">
        <x:v>CN-GIL-BWI-C2-CB-LINE</x:v>
      </x:c>
      <x:c r="B66" s="20" t="str">
        <x:v>e52edbd6-ac43-5394-a24e-dca26914d2a7</x:v>
      </x:c>
      <x:c r="C66" s="20" t="str">
        <x:v>ConnectivityNode</x:v>
      </x:c>
      <x:c r="D66" s="20" t="str">
        <x:v>BWI-C2 breaker-line node</x:v>
      </x:c>
      <x:c r="E66" s="20" t="str">
        <x:v>GI GILIMANUK</x:v>
      </x:c>
      <x:c r="F66" s="20" t="n">
        <x:v>150</x:v>
      </x:c>
      <x:c r="G66" s="20" t="str">
        <x:v>BWI-C2</x:v>
      </x:c>
      <x:c r="H66" s="20" t="str">
        <x:v>ASSUMED</x:v>
      </x:c>
      <x:c r="I66" s="40" t="n">
        <x:v>0.65</x:v>
      </x:c>
      <x:c r="J66" s="20" t="str">
        <x:v>DRAFT</x:v>
      </x:c>
      <x:c r="K66" s="20" t="str"/>
      <x:c r="L66" s="20" t="str">
        <x:v>Connectivity node BWI-C2 breaker-line node.</x:v>
      </x:c>
    </x:row>
    <x:row r="67">
      <x:c r="A67" s="20" t="str">
        <x:v>CN-GIL-BWI-C2-LINE-END</x:v>
      </x:c>
      <x:c r="B67" s="20" t="str">
        <x:v>962cf6de-6758-51a7-86e1-e3f860210a65</x:v>
      </x:c>
      <x:c r="C67" s="20" t="str">
        <x:v>ConnectivityNode</x:v>
      </x:c>
      <x:c r="D67" s="20" t="str">
        <x:v>BWI-C2 local line-end node</x:v>
      </x:c>
      <x:c r="E67" s="20" t="str">
        <x:v>GI GILIMANUK</x:v>
      </x:c>
      <x:c r="F67" s="20" t="n">
        <x:v>150</x:v>
      </x:c>
      <x:c r="G67" s="20" t="str">
        <x:v>BWI-C2</x:v>
      </x:c>
      <x:c r="H67" s="20" t="str">
        <x:v>SLD_DERIVED</x:v>
      </x:c>
      <x:c r="I67" s="40" t="n">
        <x:v>0.75</x:v>
      </x:c>
      <x:c r="J67" s="20" t="str">
        <x:v>DRAFT</x:v>
      </x:c>
      <x:c r="K67" s="20" t="str"/>
      <x:c r="L67" s="20" t="str">
        <x:v>Connectivity node BWI-C2 local line-end node.</x:v>
      </x:c>
    </x:row>
    <x:row r="68">
      <x:c r="A68" s="20" t="str">
        <x:v>CN-BWI-BWI-C2-BOUNDARY</x:v>
      </x:c>
      <x:c r="B68" s="20" t="str">
        <x:v>ae0e469d-0b90-5100-b4b8-a779d9187bfb</x:v>
      </x:c>
      <x:c r="C68" s="20" t="str">
        <x:v>ConnectivityNode</x:v>
      </x:c>
      <x:c r="D68" s="20" t="str">
        <x:v>GI BANYUWANGI BWI-C2 boundary node</x:v>
      </x:c>
      <x:c r="E68" s="20" t="str">
        <x:v>GI BANYUWANGI</x:v>
      </x:c>
      <x:c r="F68" s="20" t="n">
        <x:v>150</x:v>
      </x:c>
      <x:c r="G68" s="20" t="str">
        <x:v>BWI-C2</x:v>
      </x:c>
      <x:c r="H68" s="20" t="str">
        <x:v>SLD_DERIVED</x:v>
      </x:c>
      <x:c r="I68" s="40" t="n">
        <x:v>0.75</x:v>
      </x:c>
      <x:c r="J68" s="20" t="str">
        <x:v>DRAFT</x:v>
      </x:c>
      <x:c r="K68" s="20" t="str"/>
      <x:c r="L68" s="20" t="str">
        <x:v>Connectivity node GI BANYUWANGI BWI-C2 boundary node.</x:v>
      </x:c>
    </x:row>
    <x:row r="69">
      <x:c r="A69" s="20" t="str">
        <x:v>GIL-150-BWI-C2-DS-A</x:v>
      </x:c>
      <x:c r="B69" s="20" t="str">
        <x:v>d27ebeb2-9f5c-535d-aefd-571fb3421851</x:v>
      </x:c>
      <x:c r="C69" s="20" t="str">
        <x:v>Disconnector</x:v>
      </x:c>
      <x:c r="D69" s="20" t="str">
        <x:v>DS BUS A BWI-C2</x:v>
      </x:c>
      <x:c r="E69" s="20" t="str">
        <x:v>GI GILIMANUK</x:v>
      </x:c>
      <x:c r="F69" s="20" t="n">
        <x:v>150</x:v>
      </x:c>
      <x:c r="G69" s="20" t="str">
        <x:v>BWI-C2</x:v>
      </x:c>
      <x:c r="H69" s="20" t="str">
        <x:v>ASSUMED</x:v>
      </x:c>
      <x:c r="I69" s="40" t="n">
        <x:v>0.65</x:v>
      </x:c>
      <x:c r="J69" s="20" t="str">
        <x:v>DRAFT</x:v>
      </x:c>
      <x:c r="K69" s="20" t="str"/>
      <x:c r="L69" s="20" t="str">
        <x:v>Provisional bus-A selector disconnector generated from the standard double-bus single-breaker bay template.</x:v>
      </x:c>
    </x:row>
    <x:row r="70">
      <x:c r="A70" s="20" t="str">
        <x:v>DS::GIL::BWI-C2::BUS-A-T1</x:v>
      </x:c>
      <x:c r="B70" s="20" t="str">
        <x:v>fe8471ca-46e6-5f0b-a75b-570a33c92f3d</x:v>
      </x:c>
      <x:c r="C70" s="20" t="str">
        <x:v>Terminal</x:v>
      </x:c>
      <x:c r="D70" s="20" t="str">
        <x:v>1</x:v>
      </x:c>
      <x:c r="E70" s="20" t="str"/>
      <x:c r="F70" s="20" t="str"/>
      <x:c r="G70" s="20" t="str"/>
      <x:c r="H70" s="20" t="str">
        <x:v>ASSUMED</x:v>
      </x:c>
      <x:c r="I70" s="40" t="n">
        <x:v>0.65</x:v>
      </x:c>
      <x:c r="J70" s="20" t="str">
        <x:v>DRAFT</x:v>
      </x:c>
      <x:c r="K70" s="20" t="str"/>
      <x:c r="L70" s="20" t="str">
        <x:v>Terminal 1 of DS BUS A BWI-C2</x:v>
      </x:c>
    </x:row>
    <x:row r="71">
      <x:c r="A71" s="20" t="str">
        <x:v>DS::GIL::BWI-C2::BUS-A-T2</x:v>
      </x:c>
      <x:c r="B71" s="20" t="str">
        <x:v>8667b9da-4e56-579b-a8da-ee174710edb7</x:v>
      </x:c>
      <x:c r="C71" s="20" t="str">
        <x:v>Terminal</x:v>
      </x:c>
      <x:c r="D71" s="20" t="str">
        <x:v>2</x:v>
      </x:c>
      <x:c r="E71" s="20" t="str"/>
      <x:c r="F71" s="20" t="str"/>
      <x:c r="G71" s="20" t="str"/>
      <x:c r="H71" s="20" t="str">
        <x:v>ASSUMED</x:v>
      </x:c>
      <x:c r="I71" s="40" t="n">
        <x:v>0.65</x:v>
      </x:c>
      <x:c r="J71" s="20" t="str">
        <x:v>DRAFT</x:v>
      </x:c>
      <x:c r="K71" s="20" t="str"/>
      <x:c r="L71" s="20" t="str">
        <x:v>Terminal 2 of DS BUS A BWI-C2</x:v>
      </x:c>
    </x:row>
    <x:row r="72">
      <x:c r="A72" s="20" t="str">
        <x:v>GIL-150-BWI-C2-DS-B</x:v>
      </x:c>
      <x:c r="B72" s="20" t="str">
        <x:v>c1e36263-f6cf-59c3-9d0d-3f0239c13260</x:v>
      </x:c>
      <x:c r="C72" s="20" t="str">
        <x:v>Disconnector</x:v>
      </x:c>
      <x:c r="D72" s="20" t="str">
        <x:v>DS BUS B BWI-C2</x:v>
      </x:c>
      <x:c r="E72" s="20" t="str">
        <x:v>GI GILIMANUK</x:v>
      </x:c>
      <x:c r="F72" s="20" t="n">
        <x:v>150</x:v>
      </x:c>
      <x:c r="G72" s="20" t="str">
        <x:v>BWI-C2</x:v>
      </x:c>
      <x:c r="H72" s="20" t="str">
        <x:v>ASSUMED</x:v>
      </x:c>
      <x:c r="I72" s="40" t="n">
        <x:v>0.65</x:v>
      </x:c>
      <x:c r="J72" s="20" t="str">
        <x:v>DRAFT</x:v>
      </x:c>
      <x:c r="K72" s="20" t="str"/>
      <x:c r="L72" s="20" t="str">
        <x:v>Provisional bus-B selector disconnector generated from the standard double-bus single-breaker bay template.</x:v>
      </x:c>
    </x:row>
    <x:row r="73">
      <x:c r="A73" s="20" t="str">
        <x:v>DS::GIL::BWI-C2::BUS-B-T1</x:v>
      </x:c>
      <x:c r="B73" s="20" t="str">
        <x:v>f9136f49-13b2-572b-b0f7-dd8726438ee7</x:v>
      </x:c>
      <x:c r="C73" s="20" t="str">
        <x:v>Terminal</x:v>
      </x:c>
      <x:c r="D73" s="20" t="str">
        <x:v>1</x:v>
      </x:c>
      <x:c r="E73" s="20" t="str"/>
      <x:c r="F73" s="20" t="str"/>
      <x:c r="G73" s="20" t="str"/>
      <x:c r="H73" s="20" t="str">
        <x:v>ASSUMED</x:v>
      </x:c>
      <x:c r="I73" s="40" t="n">
        <x:v>0.65</x:v>
      </x:c>
      <x:c r="J73" s="20" t="str">
        <x:v>DRAFT</x:v>
      </x:c>
      <x:c r="K73" s="20" t="str"/>
      <x:c r="L73" s="20" t="str">
        <x:v>Terminal 1 of DS BUS B BWI-C2</x:v>
      </x:c>
    </x:row>
    <x:row r="74">
      <x:c r="A74" s="20" t="str">
        <x:v>DS::GIL::BWI-C2::BUS-B-T2</x:v>
      </x:c>
      <x:c r="B74" s="20" t="str">
        <x:v>072c659b-0238-5fc2-82fd-0834838e632a</x:v>
      </x:c>
      <x:c r="C74" s="20" t="str">
        <x:v>Terminal</x:v>
      </x:c>
      <x:c r="D74" s="20" t="str">
        <x:v>2</x:v>
      </x:c>
      <x:c r="E74" s="20" t="str"/>
      <x:c r="F74" s="20" t="str"/>
      <x:c r="G74" s="20" t="str"/>
      <x:c r="H74" s="20" t="str">
        <x:v>ASSUMED</x:v>
      </x:c>
      <x:c r="I74" s="40" t="n">
        <x:v>0.65</x:v>
      </x:c>
      <x:c r="J74" s="20" t="str">
        <x:v>DRAFT</x:v>
      </x:c>
      <x:c r="K74" s="20" t="str"/>
      <x:c r="L74" s="20" t="str">
        <x:v>Terminal 2 of DS BUS B BWI-C2</x:v>
      </x:c>
    </x:row>
    <x:row r="75">
      <x:c r="A75" s="20" t="str">
        <x:v>GIL-150-BWI-C2-CB</x:v>
      </x:c>
      <x:c r="B75" s="20" t="str">
        <x:v>4437a8b5-fe0b-570d-a5c3-fab7832c70d9</x:v>
      </x:c>
      <x:c r="C75" s="20" t="str">
        <x:v>Breaker</x:v>
      </x:c>
      <x:c r="D75" s="20" t="str">
        <x:v>CB BWI-C2</x:v>
      </x:c>
      <x:c r="E75" s="20" t="str">
        <x:v>GI GILIMANUK</x:v>
      </x:c>
      <x:c r="F75" s="20" t="n">
        <x:v>150</x:v>
      </x:c>
      <x:c r="G75" s="20" t="str">
        <x:v>BWI-C2</x:v>
      </x:c>
      <x:c r="H75" s="20" t="str">
        <x:v>ASSUMED</x:v>
      </x:c>
      <x:c r="I75" s="40" t="n">
        <x:v>0.7</x:v>
      </x:c>
      <x:c r="J75" s="20" t="str">
        <x:v>DRAFT</x:v>
      </x:c>
      <x:c r="K75" s="20" t="str"/>
      <x:c r="L75" s="20" t="str">
        <x:v>Provisional line circuit breaker generated from the SLD bay position.</x:v>
      </x:c>
    </x:row>
    <x:row r="76">
      <x:c r="A76" s="20" t="str">
        <x:v>CB::GIL::BWI-C2-T1</x:v>
      </x:c>
      <x:c r="B76" s="20" t="str">
        <x:v>f73074eb-ada6-5e1a-ba57-4471ba4d57ac</x:v>
      </x:c>
      <x:c r="C76" s="20" t="str">
        <x:v>Terminal</x:v>
      </x:c>
      <x:c r="D76" s="20" t="str">
        <x:v>1</x:v>
      </x:c>
      <x:c r="E76" s="20" t="str"/>
      <x:c r="F76" s="20" t="str"/>
      <x:c r="G76" s="20" t="str"/>
      <x:c r="H76" s="20" t="str">
        <x:v>ASSUMED</x:v>
      </x:c>
      <x:c r="I76" s="40" t="n">
        <x:v>0.7</x:v>
      </x:c>
      <x:c r="J76" s="20" t="str">
        <x:v>DRAFT</x:v>
      </x:c>
      <x:c r="K76" s="20" t="str"/>
      <x:c r="L76" s="20" t="str">
        <x:v>Terminal 1 of CB BWI-C2</x:v>
      </x:c>
    </x:row>
    <x:row r="77">
      <x:c r="A77" s="20" t="str">
        <x:v>CB::GIL::BWI-C2-T2</x:v>
      </x:c>
      <x:c r="B77" s="20" t="str">
        <x:v>8ca0c088-7373-5ee9-95f1-b2c749bc56c9</x:v>
      </x:c>
      <x:c r="C77" s="20" t="str">
        <x:v>Terminal</x:v>
      </x:c>
      <x:c r="D77" s="20" t="str">
        <x:v>2</x:v>
      </x:c>
      <x:c r="E77" s="20" t="str"/>
      <x:c r="F77" s="20" t="str"/>
      <x:c r="G77" s="20" t="str"/>
      <x:c r="H77" s="20" t="str">
        <x:v>ASSUMED</x:v>
      </x:c>
      <x:c r="I77" s="40" t="n">
        <x:v>0.7</x:v>
      </x:c>
      <x:c r="J77" s="20" t="str">
        <x:v>DRAFT</x:v>
      </x:c>
      <x:c r="K77" s="20" t="str"/>
      <x:c r="L77" s="20" t="str">
        <x:v>Terminal 2 of CB BWI-C2</x:v>
      </x:c>
    </x:row>
    <x:row r="78">
      <x:c r="A78" s="20" t="str">
        <x:v>GIL-150-BWI-C2-DS-LINE</x:v>
      </x:c>
      <x:c r="B78" s="20" t="str">
        <x:v>68bca5d1-af44-5bca-b871-0300a1518ce5</x:v>
      </x:c>
      <x:c r="C78" s="20" t="str">
        <x:v>Disconnector</x:v>
      </x:c>
      <x:c r="D78" s="20" t="str">
        <x:v>DS LINE BWI-C2</x:v>
      </x:c>
      <x:c r="E78" s="20" t="str">
        <x:v>GI GILIMANUK</x:v>
      </x:c>
      <x:c r="F78" s="20" t="n">
        <x:v>150</x:v>
      </x:c>
      <x:c r="G78" s="20" t="str">
        <x:v>BWI-C2</x:v>
      </x:c>
      <x:c r="H78" s="20" t="str">
        <x:v>ASSUMED</x:v>
      </x:c>
      <x:c r="I78" s="40" t="n">
        <x:v>0.65</x:v>
      </x:c>
      <x:c r="J78" s="20" t="str">
        <x:v>DRAFT</x:v>
      </x:c>
      <x:c r="K78" s="20" t="str"/>
      <x:c r="L78" s="20" t="str">
        <x:v>Provisional line-side disconnector generated from the standard bay template.</x:v>
      </x:c>
    </x:row>
    <x:row r="79">
      <x:c r="A79" s="20" t="str">
        <x:v>DS::GIL::BWI-C2::LINE-T1</x:v>
      </x:c>
      <x:c r="B79" s="20" t="str">
        <x:v>5b6dec71-79b0-5af8-ad67-f99b880b8d28</x:v>
      </x:c>
      <x:c r="C79" s="20" t="str">
        <x:v>Terminal</x:v>
      </x:c>
      <x:c r="D79" s="20" t="str">
        <x:v>1</x:v>
      </x:c>
      <x:c r="E79" s="20" t="str"/>
      <x:c r="F79" s="20" t="str"/>
      <x:c r="G79" s="20" t="str"/>
      <x:c r="H79" s="20" t="str">
        <x:v>ASSUMED</x:v>
      </x:c>
      <x:c r="I79" s="40" t="n">
        <x:v>0.65</x:v>
      </x:c>
      <x:c r="J79" s="20" t="str">
        <x:v>DRAFT</x:v>
      </x:c>
      <x:c r="K79" s="20" t="str"/>
      <x:c r="L79" s="20" t="str">
        <x:v>Terminal 1 of DS LINE BWI-C2</x:v>
      </x:c>
    </x:row>
    <x:row r="80">
      <x:c r="A80" s="20" t="str">
        <x:v>DS::GIL::BWI-C2::LINE-T2</x:v>
      </x:c>
      <x:c r="B80" s="20" t="str">
        <x:v>5feb2ced-15c7-5a69-a044-72255fb42b04</x:v>
      </x:c>
      <x:c r="C80" s="20" t="str">
        <x:v>Terminal</x:v>
      </x:c>
      <x:c r="D80" s="20" t="str">
        <x:v>2</x:v>
      </x:c>
      <x:c r="E80" s="20" t="str"/>
      <x:c r="F80" s="20" t="str"/>
      <x:c r="G80" s="20" t="str"/>
      <x:c r="H80" s="20" t="str">
        <x:v>ASSUMED</x:v>
      </x:c>
      <x:c r="I80" s="40" t="n">
        <x:v>0.65</x:v>
      </x:c>
      <x:c r="J80" s="20" t="str">
        <x:v>DRAFT</x:v>
      </x:c>
      <x:c r="K80" s="20" t="str"/>
      <x:c r="L80" s="20" t="str">
        <x:v>Terminal 2 of DS LINE BWI-C2</x:v>
      </x:c>
    </x:row>
    <x:row r="81">
      <x:c r="A81" s="20" t="str">
        <x:v>LINE-GIL-BWI-C2</x:v>
      </x:c>
      <x:c r="B81" s="20" t="str">
        <x:v>d523f17d-83ef-5522-8ca8-cb77b8acfe1b</x:v>
      </x:c>
      <x:c r="C81" s="20" t="str">
        <x:v>Line</x:v>
      </x:c>
      <x:c r="D81" s="20" t="str">
        <x:v>LINE GILIMANUK–GI BANYUWANGI BWI-C2</x:v>
      </x:c>
      <x:c r="E81" s="20" t="str"/>
      <x:c r="F81" s="20" t="str"/>
      <x:c r="G81" s="20" t="str"/>
      <x:c r="H81" s="20" t="str">
        <x:v>SLD_DERIVED</x:v>
      </x:c>
      <x:c r="I81" s="40" t="n">
        <x:v>0.75</x:v>
      </x:c>
      <x:c r="J81" s="20" t="str">
        <x:v>DRAFT</x:v>
      </x:c>
      <x:c r="K81" s="20" t="str"/>
      <x:c r="L81" s="20" t="str">
        <x:v>Canonical line container for circuit BWI-C2.</x:v>
      </x:c>
    </x:row>
    <x:row r="82">
      <x:c r="A82" s="20" t="str">
        <x:v>GIL-BWI-150-C2</x:v>
      </x:c>
      <x:c r="B82" s="20" t="str">
        <x:v>9d5ed157-550b-53a2-8237-c0efc8ab61b7</x:v>
      </x:c>
      <x:c r="C82" s="20" t="str">
        <x:v>ACLineSegment</x:v>
      </x:c>
      <x:c r="D82" s="20" t="str">
        <x:v>AC LINE BWI-C2</x:v>
      </x:c>
      <x:c r="E82" s="20" t="str">
        <x:v>INTER-GI</x:v>
      </x:c>
      <x:c r="F82" s="20" t="n">
        <x:v>150</x:v>
      </x:c>
      <x:c r="G82" s="20" t="str">
        <x:v>BWI-C2</x:v>
      </x:c>
      <x:c r="H82" s="20" t="str">
        <x:v>SLD_AND_SOURCE_RECONCILED</x:v>
      </x:c>
      <x:c r="I82" s="40" t="n">
        <x:v>0.75</x:v>
      </x:c>
      <x:c r="J82" s="20" t="str">
        <x:v>DRAFT</x:v>
      </x:c>
      <x:c r="K82" s="20" t="str">
        <x:v>f15a2fdf-e93a-499e-a6b4-6fbc366d4645</x:v>
      </x:c>
      <x:c r="L82" s="20" t="str">
        <x:v>Canonical ACLineSegment GILIMANUK–GI BANYUWANGI circuit 2.</x:v>
      </x:c>
    </x:row>
    <x:row r="83">
      <x:c r="A83" s="20" t="str">
        <x:v>ACLINE::BWI-C2-T1</x:v>
      </x:c>
      <x:c r="B83" s="20" t="str">
        <x:v>7de4255f-db84-5bf9-abe5-8d4d86283dc9</x:v>
      </x:c>
      <x:c r="C83" s="20" t="str">
        <x:v>Terminal</x:v>
      </x:c>
      <x:c r="D83" s="20" t="str">
        <x:v>1</x:v>
      </x:c>
      <x:c r="E83" s="20" t="str"/>
      <x:c r="F83" s="20" t="str"/>
      <x:c r="G83" s="20" t="str"/>
      <x:c r="H83" s="20" t="str">
        <x:v>SLD_AND_SOURCE_RECONCILED</x:v>
      </x:c>
      <x:c r="I83" s="40" t="n">
        <x:v>0.75</x:v>
      </x:c>
      <x:c r="J83" s="20" t="str">
        <x:v>DRAFT</x:v>
      </x:c>
      <x:c r="K83" s="20" t="str"/>
      <x:c r="L83" s="20" t="str">
        <x:v>Terminal 1 of AC LINE BWI-C2</x:v>
      </x:c>
    </x:row>
    <x:row r="84">
      <x:c r="A84" s="20" t="str">
        <x:v>ACLINE::BWI-C2-T2</x:v>
      </x:c>
      <x:c r="B84" s="20" t="str">
        <x:v>f0c0f611-e683-5ef0-a95a-ce1d2d72468c</x:v>
      </x:c>
      <x:c r="C84" s="20" t="str">
        <x:v>Terminal</x:v>
      </x:c>
      <x:c r="D84" s="20" t="str">
        <x:v>2</x:v>
      </x:c>
      <x:c r="E84" s="20" t="str"/>
      <x:c r="F84" s="20" t="str"/>
      <x:c r="G84" s="20" t="str"/>
      <x:c r="H84" s="20" t="str">
        <x:v>SLD_AND_SOURCE_RECONCILED</x:v>
      </x:c>
      <x:c r="I84" s="40" t="n">
        <x:v>0.75</x:v>
      </x:c>
      <x:c r="J84" s="20" t="str">
        <x:v>DRAFT</x:v>
      </x:c>
      <x:c r="K84" s="20" t="str"/>
      <x:c r="L84" s="20" t="str">
        <x:v>Terminal 2 of AC LINE BWI-C2</x:v>
      </x:c>
    </x:row>
    <x:row r="85">
      <x:c r="A85" s="20" t="str">
        <x:v>GIL-150-BAY-BWI-C3</x:v>
      </x:c>
      <x:c r="B85" s="20" t="str">
        <x:v>a28fe738-f58e-5d25-a985-e58660aa9fd0</x:v>
      </x:c>
      <x:c r="C85" s="20" t="str">
        <x:v>Bay</x:v>
      </x:c>
      <x:c r="D85" s="20" t="str">
        <x:v>LINE BAY BWI-C3 GILIMANUK</x:v>
      </x:c>
      <x:c r="E85" s="20" t="str">
        <x:v>GI GILIMANUK</x:v>
      </x:c>
      <x:c r="F85" s="20" t="n">
        <x:v>150</x:v>
      </x:c>
      <x:c r="G85" s="20" t="str">
        <x:v>BWI-C3</x:v>
      </x:c>
      <x:c r="H85" s="20" t="str">
        <x:v>SLD_DERIVED</x:v>
      </x:c>
      <x:c r="I85" s="40" t="n">
        <x:v>0.75</x:v>
      </x:c>
      <x:c r="J85" s="20" t="str">
        <x:v>DRAFT</x:v>
      </x:c>
      <x:c r="K85" s="20" t="str">
        <x:v>c1f13ca4-cf51-40b0-a962-0933da06b42f</x:v>
      </x:c>
      <x:c r="L85" s="20" t="str">
        <x:v>Canonical local line bay for GILIMANUK–GI BANYUWANGI circuit 3.</x:v>
      </x:c>
    </x:row>
    <x:row r="86">
      <x:c r="A86" s="20" t="str">
        <x:v>CN-GIL-BWI-C3-SELECT</x:v>
      </x:c>
      <x:c r="B86" s="20" t="str">
        <x:v>038ccb16-b34e-5f27-a099-682be6a582a9</x:v>
      </x:c>
      <x:c r="C86" s="20" t="str">
        <x:v>ConnectivityNode</x:v>
      </x:c>
      <x:c r="D86" s="20" t="str">
        <x:v>BWI-C3 bus-selection node</x:v>
      </x:c>
      <x:c r="E86" s="20" t="str">
        <x:v>GI GILIMANUK</x:v>
      </x:c>
      <x:c r="F86" s="20" t="n">
        <x:v>150</x:v>
      </x:c>
      <x:c r="G86" s="20" t="str">
        <x:v>BWI-C3</x:v>
      </x:c>
      <x:c r="H86" s="20" t="str">
        <x:v>ASSUMED</x:v>
      </x:c>
      <x:c r="I86" s="40" t="n">
        <x:v>0.65</x:v>
      </x:c>
      <x:c r="J86" s="20" t="str">
        <x:v>DRAFT</x:v>
      </x:c>
      <x:c r="K86" s="20" t="str"/>
      <x:c r="L86" s="20" t="str">
        <x:v>Connectivity node BWI-C3 bus-selection node.</x:v>
      </x:c>
    </x:row>
    <x:row r="87">
      <x:c r="A87" s="20" t="str">
        <x:v>CN-GIL-BWI-C3-CB-LINE</x:v>
      </x:c>
      <x:c r="B87" s="20" t="str">
        <x:v>b8b5541e-ed4e-5499-88dd-296ddd3a325e</x:v>
      </x:c>
      <x:c r="C87" s="20" t="str">
        <x:v>ConnectivityNode</x:v>
      </x:c>
      <x:c r="D87" s="20" t="str">
        <x:v>BWI-C3 breaker-line node</x:v>
      </x:c>
      <x:c r="E87" s="20" t="str">
        <x:v>GI GILIMANUK</x:v>
      </x:c>
      <x:c r="F87" s="20" t="n">
        <x:v>150</x:v>
      </x:c>
      <x:c r="G87" s="20" t="str">
        <x:v>BWI-C3</x:v>
      </x:c>
      <x:c r="H87" s="20" t="str">
        <x:v>ASSUMED</x:v>
      </x:c>
      <x:c r="I87" s="40" t="n">
        <x:v>0.65</x:v>
      </x:c>
      <x:c r="J87" s="20" t="str">
        <x:v>DRAFT</x:v>
      </x:c>
      <x:c r="K87" s="20" t="str"/>
      <x:c r="L87" s="20" t="str">
        <x:v>Connectivity node BWI-C3 breaker-line node.</x:v>
      </x:c>
    </x:row>
    <x:row r="88">
      <x:c r="A88" s="20" t="str">
        <x:v>CN-GIL-BWI-C3-LINE-END</x:v>
      </x:c>
      <x:c r="B88" s="20" t="str">
        <x:v>3d9ce4fe-82d2-5403-a0f2-dfc6a299bdee</x:v>
      </x:c>
      <x:c r="C88" s="20" t="str">
        <x:v>ConnectivityNode</x:v>
      </x:c>
      <x:c r="D88" s="20" t="str">
        <x:v>BWI-C3 local line-end node</x:v>
      </x:c>
      <x:c r="E88" s="20" t="str">
        <x:v>GI GILIMANUK</x:v>
      </x:c>
      <x:c r="F88" s="20" t="n">
        <x:v>150</x:v>
      </x:c>
      <x:c r="G88" s="20" t="str">
        <x:v>BWI-C3</x:v>
      </x:c>
      <x:c r="H88" s="20" t="str">
        <x:v>SLD_DERIVED</x:v>
      </x:c>
      <x:c r="I88" s="40" t="n">
        <x:v>0.75</x:v>
      </x:c>
      <x:c r="J88" s="20" t="str">
        <x:v>DRAFT</x:v>
      </x:c>
      <x:c r="K88" s="20" t="str"/>
      <x:c r="L88" s="20" t="str">
        <x:v>Connectivity node BWI-C3 local line-end node.</x:v>
      </x:c>
    </x:row>
    <x:row r="89">
      <x:c r="A89" s="20" t="str">
        <x:v>CN-BWI-BWI-C3-BOUNDARY</x:v>
      </x:c>
      <x:c r="B89" s="20" t="str">
        <x:v>b9d95639-7e77-574e-b7de-0e43c83ed0a8</x:v>
      </x:c>
      <x:c r="C89" s="20" t="str">
        <x:v>ConnectivityNode</x:v>
      </x:c>
      <x:c r="D89" s="20" t="str">
        <x:v>GI BANYUWANGI BWI-C3 boundary node</x:v>
      </x:c>
      <x:c r="E89" s="20" t="str">
        <x:v>GI BANYUWANGI</x:v>
      </x:c>
      <x:c r="F89" s="20" t="n">
        <x:v>150</x:v>
      </x:c>
      <x:c r="G89" s="20" t="str">
        <x:v>BWI-C3</x:v>
      </x:c>
      <x:c r="H89" s="20" t="str">
        <x:v>SLD_DERIVED</x:v>
      </x:c>
      <x:c r="I89" s="40" t="n">
        <x:v>0.75</x:v>
      </x:c>
      <x:c r="J89" s="20" t="str">
        <x:v>DRAFT</x:v>
      </x:c>
      <x:c r="K89" s="20" t="str"/>
      <x:c r="L89" s="20" t="str">
        <x:v>Connectivity node GI BANYUWANGI BWI-C3 boundary node.</x:v>
      </x:c>
    </x:row>
    <x:row r="90">
      <x:c r="A90" s="20" t="str">
        <x:v>GIL-150-BWI-C3-DS-A</x:v>
      </x:c>
      <x:c r="B90" s="20" t="str">
        <x:v>c1587df7-440b-5a2e-990a-5cd3fdbdf4c8</x:v>
      </x:c>
      <x:c r="C90" s="20" t="str">
        <x:v>Disconnector</x:v>
      </x:c>
      <x:c r="D90" s="20" t="str">
        <x:v>DS BUS A BWI-C3</x:v>
      </x:c>
      <x:c r="E90" s="20" t="str">
        <x:v>GI GILIMANUK</x:v>
      </x:c>
      <x:c r="F90" s="20" t="n">
        <x:v>150</x:v>
      </x:c>
      <x:c r="G90" s="20" t="str">
        <x:v>BWI-C3</x:v>
      </x:c>
      <x:c r="H90" s="20" t="str">
        <x:v>ASSUMED</x:v>
      </x:c>
      <x:c r="I90" s="40" t="n">
        <x:v>0.65</x:v>
      </x:c>
      <x:c r="J90" s="20" t="str">
        <x:v>DRAFT</x:v>
      </x:c>
      <x:c r="K90" s="20" t="str"/>
      <x:c r="L90" s="20" t="str">
        <x:v>Provisional bus-A selector disconnector generated from the standard double-bus single-breaker bay template.</x:v>
      </x:c>
    </x:row>
    <x:row r="91">
      <x:c r="A91" s="20" t="str">
        <x:v>DS::GIL::BWI-C3::BUS-A-T1</x:v>
      </x:c>
      <x:c r="B91" s="20" t="str">
        <x:v>c238e70a-b5d8-500f-a95e-bdfadf231722</x:v>
      </x:c>
      <x:c r="C91" s="20" t="str">
        <x:v>Terminal</x:v>
      </x:c>
      <x:c r="D91" s="20" t="str">
        <x:v>1</x:v>
      </x:c>
      <x:c r="E91" s="20" t="str"/>
      <x:c r="F91" s="20" t="str"/>
      <x:c r="G91" s="20" t="str"/>
      <x:c r="H91" s="20" t="str">
        <x:v>ASSUMED</x:v>
      </x:c>
      <x:c r="I91" s="40" t="n">
        <x:v>0.65</x:v>
      </x:c>
      <x:c r="J91" s="20" t="str">
        <x:v>DRAFT</x:v>
      </x:c>
      <x:c r="K91" s="20" t="str"/>
      <x:c r="L91" s="20" t="str">
        <x:v>Terminal 1 of DS BUS A BWI-C3</x:v>
      </x:c>
    </x:row>
    <x:row r="92">
      <x:c r="A92" s="20" t="str">
        <x:v>DS::GIL::BWI-C3::BUS-A-T2</x:v>
      </x:c>
      <x:c r="B92" s="20" t="str">
        <x:v>59ef31cd-3b00-5b7d-b97e-30b4032a3062</x:v>
      </x:c>
      <x:c r="C92" s="20" t="str">
        <x:v>Terminal</x:v>
      </x:c>
      <x:c r="D92" s="20" t="str">
        <x:v>2</x:v>
      </x:c>
      <x:c r="E92" s="20" t="str"/>
      <x:c r="F92" s="20" t="str"/>
      <x:c r="G92" s="20" t="str"/>
      <x:c r="H92" s="20" t="str">
        <x:v>ASSUMED</x:v>
      </x:c>
      <x:c r="I92" s="40" t="n">
        <x:v>0.65</x:v>
      </x:c>
      <x:c r="J92" s="20" t="str">
        <x:v>DRAFT</x:v>
      </x:c>
      <x:c r="K92" s="20" t="str"/>
      <x:c r="L92" s="20" t="str">
        <x:v>Terminal 2 of DS BUS A BWI-C3</x:v>
      </x:c>
    </x:row>
    <x:row r="93">
      <x:c r="A93" s="20" t="str">
        <x:v>GIL-150-BWI-C3-DS-B</x:v>
      </x:c>
      <x:c r="B93" s="20" t="str">
        <x:v>c29a1334-8789-58bf-9083-7c032bb52dd3</x:v>
      </x:c>
      <x:c r="C93" s="20" t="str">
        <x:v>Disconnector</x:v>
      </x:c>
      <x:c r="D93" s="20" t="str">
        <x:v>DS BUS B BWI-C3</x:v>
      </x:c>
      <x:c r="E93" s="20" t="str">
        <x:v>GI GILIMANUK</x:v>
      </x:c>
      <x:c r="F93" s="20" t="n">
        <x:v>150</x:v>
      </x:c>
      <x:c r="G93" s="20" t="str">
        <x:v>BWI-C3</x:v>
      </x:c>
      <x:c r="H93" s="20" t="str">
        <x:v>ASSUMED</x:v>
      </x:c>
      <x:c r="I93" s="40" t="n">
        <x:v>0.65</x:v>
      </x:c>
      <x:c r="J93" s="20" t="str">
        <x:v>DRAFT</x:v>
      </x:c>
      <x:c r="K93" s="20" t="str"/>
      <x:c r="L93" s="20" t="str">
        <x:v>Provisional bus-B selector disconnector generated from the standard double-bus single-breaker bay template.</x:v>
      </x:c>
    </x:row>
    <x:row r="94">
      <x:c r="A94" s="20" t="str">
        <x:v>DS::GIL::BWI-C3::BUS-B-T1</x:v>
      </x:c>
      <x:c r="B94" s="20" t="str">
        <x:v>2b83dad9-8b33-52df-a794-bc3406ceacaf</x:v>
      </x:c>
      <x:c r="C94" s="20" t="str">
        <x:v>Terminal</x:v>
      </x:c>
      <x:c r="D94" s="20" t="str">
        <x:v>1</x:v>
      </x:c>
      <x:c r="E94" s="20" t="str"/>
      <x:c r="F94" s="20" t="str"/>
      <x:c r="G94" s="20" t="str"/>
      <x:c r="H94" s="20" t="str">
        <x:v>ASSUMED</x:v>
      </x:c>
      <x:c r="I94" s="40" t="n">
        <x:v>0.65</x:v>
      </x:c>
      <x:c r="J94" s="20" t="str">
        <x:v>DRAFT</x:v>
      </x:c>
      <x:c r="K94" s="20" t="str"/>
      <x:c r="L94" s="20" t="str">
        <x:v>Terminal 1 of DS BUS B BWI-C3</x:v>
      </x:c>
    </x:row>
    <x:row r="95">
      <x:c r="A95" s="20" t="str">
        <x:v>DS::GIL::BWI-C3::BUS-B-T2</x:v>
      </x:c>
      <x:c r="B95" s="20" t="str">
        <x:v>cb338c1e-489b-5cc4-b7e1-efe01f895df8</x:v>
      </x:c>
      <x:c r="C95" s="20" t="str">
        <x:v>Terminal</x:v>
      </x:c>
      <x:c r="D95" s="20" t="str">
        <x:v>2</x:v>
      </x:c>
      <x:c r="E95" s="20" t="str"/>
      <x:c r="F95" s="20" t="str"/>
      <x:c r="G95" s="20" t="str"/>
      <x:c r="H95" s="20" t="str">
        <x:v>ASSUMED</x:v>
      </x:c>
      <x:c r="I95" s="40" t="n">
        <x:v>0.65</x:v>
      </x:c>
      <x:c r="J95" s="20" t="str">
        <x:v>DRAFT</x:v>
      </x:c>
      <x:c r="K95" s="20" t="str"/>
      <x:c r="L95" s="20" t="str">
        <x:v>Terminal 2 of DS BUS B BWI-C3</x:v>
      </x:c>
    </x:row>
    <x:row r="96">
      <x:c r="A96" s="20" t="str">
        <x:v>GIL-150-BWI-C3-CB</x:v>
      </x:c>
      <x:c r="B96" s="20" t="str">
        <x:v>0ce6585f-128d-5b26-b15e-94055347535e</x:v>
      </x:c>
      <x:c r="C96" s="20" t="str">
        <x:v>Breaker</x:v>
      </x:c>
      <x:c r="D96" s="20" t="str">
        <x:v>CB BWI-C3</x:v>
      </x:c>
      <x:c r="E96" s="20" t="str">
        <x:v>GI GILIMANUK</x:v>
      </x:c>
      <x:c r="F96" s="20" t="n">
        <x:v>150</x:v>
      </x:c>
      <x:c r="G96" s="20" t="str">
        <x:v>BWI-C3</x:v>
      </x:c>
      <x:c r="H96" s="20" t="str">
        <x:v>ASSUMED</x:v>
      </x:c>
      <x:c r="I96" s="40" t="n">
        <x:v>0.7</x:v>
      </x:c>
      <x:c r="J96" s="20" t="str">
        <x:v>DRAFT</x:v>
      </x:c>
      <x:c r="K96" s="20" t="str"/>
      <x:c r="L96" s="20" t="str">
        <x:v>Provisional line circuit breaker generated from the SLD bay position.</x:v>
      </x:c>
    </x:row>
    <x:row r="97">
      <x:c r="A97" s="20" t="str">
        <x:v>CB::GIL::BWI-C3-T1</x:v>
      </x:c>
      <x:c r="B97" s="20" t="str">
        <x:v>630fc51e-56cd-564a-b82b-abb6711e04cd</x:v>
      </x:c>
      <x:c r="C97" s="20" t="str">
        <x:v>Terminal</x:v>
      </x:c>
      <x:c r="D97" s="20" t="str">
        <x:v>1</x:v>
      </x:c>
      <x:c r="E97" s="20" t="str"/>
      <x:c r="F97" s="20" t="str"/>
      <x:c r="G97" s="20" t="str"/>
      <x:c r="H97" s="20" t="str">
        <x:v>ASSUMED</x:v>
      </x:c>
      <x:c r="I97" s="40" t="n">
        <x:v>0.7</x:v>
      </x:c>
      <x:c r="J97" s="20" t="str">
        <x:v>DRAFT</x:v>
      </x:c>
      <x:c r="K97" s="20" t="str"/>
      <x:c r="L97" s="20" t="str">
        <x:v>Terminal 1 of CB BWI-C3</x:v>
      </x:c>
    </x:row>
    <x:row r="98">
      <x:c r="A98" s="20" t="str">
        <x:v>CB::GIL::BWI-C3-T2</x:v>
      </x:c>
      <x:c r="B98" s="20" t="str">
        <x:v>19b1674d-90d3-5e55-abaa-ade41569e9e7</x:v>
      </x:c>
      <x:c r="C98" s="20" t="str">
        <x:v>Terminal</x:v>
      </x:c>
      <x:c r="D98" s="20" t="str">
        <x:v>2</x:v>
      </x:c>
      <x:c r="E98" s="20" t="str"/>
      <x:c r="F98" s="20" t="str"/>
      <x:c r="G98" s="20" t="str"/>
      <x:c r="H98" s="20" t="str">
        <x:v>ASSUMED</x:v>
      </x:c>
      <x:c r="I98" s="40" t="n">
        <x:v>0.7</x:v>
      </x:c>
      <x:c r="J98" s="20" t="str">
        <x:v>DRAFT</x:v>
      </x:c>
      <x:c r="K98" s="20" t="str"/>
      <x:c r="L98" s="20" t="str">
        <x:v>Terminal 2 of CB BWI-C3</x:v>
      </x:c>
    </x:row>
    <x:row r="99">
      <x:c r="A99" s="20" t="str">
        <x:v>GIL-150-BWI-C3-DS-LINE</x:v>
      </x:c>
      <x:c r="B99" s="20" t="str">
        <x:v>abbff9a9-d694-59ed-8528-22716c05378d</x:v>
      </x:c>
      <x:c r="C99" s="20" t="str">
        <x:v>Disconnector</x:v>
      </x:c>
      <x:c r="D99" s="20" t="str">
        <x:v>DS LINE BWI-C3</x:v>
      </x:c>
      <x:c r="E99" s="20" t="str">
        <x:v>GI GILIMANUK</x:v>
      </x:c>
      <x:c r="F99" s="20" t="n">
        <x:v>150</x:v>
      </x:c>
      <x:c r="G99" s="20" t="str">
        <x:v>BWI-C3</x:v>
      </x:c>
      <x:c r="H99" s="20" t="str">
        <x:v>ASSUMED</x:v>
      </x:c>
      <x:c r="I99" s="40" t="n">
        <x:v>0.65</x:v>
      </x:c>
      <x:c r="J99" s="20" t="str">
        <x:v>DRAFT</x:v>
      </x:c>
      <x:c r="K99" s="20" t="str"/>
      <x:c r="L99" s="20" t="str">
        <x:v>Provisional line-side disconnector generated from the standard bay template.</x:v>
      </x:c>
    </x:row>
    <x:row r="100">
      <x:c r="A100" s="20" t="str">
        <x:v>DS::GIL::BWI-C3::LINE-T1</x:v>
      </x:c>
      <x:c r="B100" s="20" t="str">
        <x:v>702680a9-9d7f-5461-aa77-a5e7d22ca0d8</x:v>
      </x:c>
      <x:c r="C100" s="20" t="str">
        <x:v>Terminal</x:v>
      </x:c>
      <x:c r="D100" s="20" t="str">
        <x:v>1</x:v>
      </x:c>
      <x:c r="E100" s="20" t="str"/>
      <x:c r="F100" s="20" t="str"/>
      <x:c r="G100" s="20" t="str"/>
      <x:c r="H100" s="20" t="str">
        <x:v>ASSUMED</x:v>
      </x:c>
      <x:c r="I100" s="40" t="n">
        <x:v>0.65</x:v>
      </x:c>
      <x:c r="J100" s="20" t="str">
        <x:v>DRAFT</x:v>
      </x:c>
      <x:c r="K100" s="20" t="str"/>
      <x:c r="L100" s="20" t="str">
        <x:v>Terminal 1 of DS LINE BWI-C3</x:v>
      </x:c>
    </x:row>
    <x:row r="101">
      <x:c r="A101" s="20" t="str">
        <x:v>DS::GIL::BWI-C3::LINE-T2</x:v>
      </x:c>
      <x:c r="B101" s="20" t="str">
        <x:v>a4cb984d-0279-55ae-9cbe-daec7bcd7ea1</x:v>
      </x:c>
      <x:c r="C101" s="20" t="str">
        <x:v>Terminal</x:v>
      </x:c>
      <x:c r="D101" s="20" t="str">
        <x:v>2</x:v>
      </x:c>
      <x:c r="E101" s="20" t="str"/>
      <x:c r="F101" s="20" t="str"/>
      <x:c r="G101" s="20" t="str"/>
      <x:c r="H101" s="20" t="str">
        <x:v>ASSUMED</x:v>
      </x:c>
      <x:c r="I101" s="40" t="n">
        <x:v>0.65</x:v>
      </x:c>
      <x:c r="J101" s="20" t="str">
        <x:v>DRAFT</x:v>
      </x:c>
      <x:c r="K101" s="20" t="str"/>
      <x:c r="L101" s="20" t="str">
        <x:v>Terminal 2 of DS LINE BWI-C3</x:v>
      </x:c>
    </x:row>
    <x:row r="102">
      <x:c r="A102" s="20" t="str">
        <x:v>LINE-GIL-BWI-C3</x:v>
      </x:c>
      <x:c r="B102" s="20" t="str">
        <x:v>ed7f52fb-602a-5453-9725-94434c798993</x:v>
      </x:c>
      <x:c r="C102" s="20" t="str">
        <x:v>Line</x:v>
      </x:c>
      <x:c r="D102" s="20" t="str">
        <x:v>LINE GILIMANUK–GI BANYUWANGI BWI-C3</x:v>
      </x:c>
      <x:c r="E102" s="20" t="str"/>
      <x:c r="F102" s="20" t="str"/>
      <x:c r="G102" s="20" t="str"/>
      <x:c r="H102" s="20" t="str">
        <x:v>SLD_DERIVED</x:v>
      </x:c>
      <x:c r="I102" s="40" t="n">
        <x:v>0.75</x:v>
      </x:c>
      <x:c r="J102" s="20" t="str">
        <x:v>DRAFT</x:v>
      </x:c>
      <x:c r="K102" s="20" t="str"/>
      <x:c r="L102" s="20" t="str">
        <x:v>Canonical line container for circuit BWI-C3.</x:v>
      </x:c>
    </x:row>
    <x:row r="103">
      <x:c r="A103" s="20" t="str">
        <x:v>GIL-BWI-150-C3</x:v>
      </x:c>
      <x:c r="B103" s="20" t="str">
        <x:v>830694cf-8575-5512-8dc2-c05271e83078</x:v>
      </x:c>
      <x:c r="C103" s="20" t="str">
        <x:v>ACLineSegment</x:v>
      </x:c>
      <x:c r="D103" s="20" t="str">
        <x:v>AC LINE BWI-C3</x:v>
      </x:c>
      <x:c r="E103" s="20" t="str">
        <x:v>INTER-GI</x:v>
      </x:c>
      <x:c r="F103" s="20" t="n">
        <x:v>150</x:v>
      </x:c>
      <x:c r="G103" s="20" t="str">
        <x:v>BWI-C3</x:v>
      </x:c>
      <x:c r="H103" s="20" t="str">
        <x:v>SLD_AND_SOURCE_RECONCILED</x:v>
      </x:c>
      <x:c r="I103" s="40" t="n">
        <x:v>0.75</x:v>
      </x:c>
      <x:c r="J103" s="20" t="str">
        <x:v>DRAFT</x:v>
      </x:c>
      <x:c r="K103" s="20" t="str">
        <x:v>c1f13ca4-cf51-40b0-a962-0933da06b42f</x:v>
      </x:c>
      <x:c r="L103" s="20" t="str">
        <x:v>Canonical ACLineSegment GILIMANUK–GI BANYUWANGI circuit 3.</x:v>
      </x:c>
    </x:row>
    <x:row r="104">
      <x:c r="A104" s="20" t="str">
        <x:v>ACLINE::BWI-C3-T1</x:v>
      </x:c>
      <x:c r="B104" s="20" t="str">
        <x:v>290bf74a-d203-5203-a1cd-37af22cabf3e</x:v>
      </x:c>
      <x:c r="C104" s="20" t="str">
        <x:v>Terminal</x:v>
      </x:c>
      <x:c r="D104" s="20" t="str">
        <x:v>1</x:v>
      </x:c>
      <x:c r="E104" s="20" t="str"/>
      <x:c r="F104" s="20" t="str"/>
      <x:c r="G104" s="20" t="str"/>
      <x:c r="H104" s="20" t="str">
        <x:v>SLD_AND_SOURCE_RECONCILED</x:v>
      </x:c>
      <x:c r="I104" s="40" t="n">
        <x:v>0.75</x:v>
      </x:c>
      <x:c r="J104" s="20" t="str">
        <x:v>DRAFT</x:v>
      </x:c>
      <x:c r="K104" s="20" t="str"/>
      <x:c r="L104" s="20" t="str">
        <x:v>Terminal 1 of AC LINE BWI-C3</x:v>
      </x:c>
    </x:row>
    <x:row r="105">
      <x:c r="A105" s="20" t="str">
        <x:v>ACLINE::BWI-C3-T2</x:v>
      </x:c>
      <x:c r="B105" s="20" t="str">
        <x:v>a422b828-ac1c-5634-9e6e-dd8f6f4a66d4</x:v>
      </x:c>
      <x:c r="C105" s="20" t="str">
        <x:v>Terminal</x:v>
      </x:c>
      <x:c r="D105" s="20" t="str">
        <x:v>2</x:v>
      </x:c>
      <x:c r="E105" s="20" t="str"/>
      <x:c r="F105" s="20" t="str"/>
      <x:c r="G105" s="20" t="str"/>
      <x:c r="H105" s="20" t="str">
        <x:v>SLD_AND_SOURCE_RECONCILED</x:v>
      </x:c>
      <x:c r="I105" s="40" t="n">
        <x:v>0.75</x:v>
      </x:c>
      <x:c r="J105" s="20" t="str">
        <x:v>DRAFT</x:v>
      </x:c>
      <x:c r="K105" s="20" t="str"/>
      <x:c r="L105" s="20" t="str">
        <x:v>Terminal 2 of AC LINE BWI-C3</x:v>
      </x:c>
    </x:row>
    <x:row r="106">
      <x:c r="A106" s="20" t="str">
        <x:v>GIL-150-BAY-BWI-C4</x:v>
      </x:c>
      <x:c r="B106" s="20" t="str">
        <x:v>becb734a-1ac8-53a8-9e85-599405b6921e</x:v>
      </x:c>
      <x:c r="C106" s="20" t="str">
        <x:v>Bay</x:v>
      </x:c>
      <x:c r="D106" s="20" t="str">
        <x:v>LINE BAY BWI-C4 GILIMANUK</x:v>
      </x:c>
      <x:c r="E106" s="20" t="str">
        <x:v>GI GILIMANUK</x:v>
      </x:c>
      <x:c r="F106" s="20" t="n">
        <x:v>150</x:v>
      </x:c>
      <x:c r="G106" s="20" t="str">
        <x:v>BWI-C4</x:v>
      </x:c>
      <x:c r="H106" s="20" t="str">
        <x:v>SLD_DERIVED</x:v>
      </x:c>
      <x:c r="I106" s="40" t="n">
        <x:v>0.75</x:v>
      </x:c>
      <x:c r="J106" s="20" t="str">
        <x:v>DRAFT</x:v>
      </x:c>
      <x:c r="K106" s="20" t="str">
        <x:v>a8dc4a8b-1443-409f-89bc-aaf88cad27d1</x:v>
      </x:c>
      <x:c r="L106" s="20" t="str">
        <x:v>Canonical local line bay for GILIMANUK–GI BANYUWANGI circuit 4.</x:v>
      </x:c>
    </x:row>
    <x:row r="107">
      <x:c r="A107" s="20" t="str">
        <x:v>CN-GIL-BWI-C4-SELECT</x:v>
      </x:c>
      <x:c r="B107" s="20" t="str">
        <x:v>a1405cfa-d80d-57ef-ab12-cbf90c5dc9fc</x:v>
      </x:c>
      <x:c r="C107" s="20" t="str">
        <x:v>ConnectivityNode</x:v>
      </x:c>
      <x:c r="D107" s="20" t="str">
        <x:v>BWI-C4 bus-selection node</x:v>
      </x:c>
      <x:c r="E107" s="20" t="str">
        <x:v>GI GILIMANUK</x:v>
      </x:c>
      <x:c r="F107" s="20" t="n">
        <x:v>150</x:v>
      </x:c>
      <x:c r="G107" s="20" t="str">
        <x:v>BWI-C4</x:v>
      </x:c>
      <x:c r="H107" s="20" t="str">
        <x:v>ASSUMED</x:v>
      </x:c>
      <x:c r="I107" s="40" t="n">
        <x:v>0.65</x:v>
      </x:c>
      <x:c r="J107" s="20" t="str">
        <x:v>DRAFT</x:v>
      </x:c>
      <x:c r="K107" s="20" t="str"/>
      <x:c r="L107" s="20" t="str">
        <x:v>Connectivity node BWI-C4 bus-selection node.</x:v>
      </x:c>
    </x:row>
    <x:row r="108">
      <x:c r="A108" s="20" t="str">
        <x:v>CN-GIL-BWI-C4-CB-LINE</x:v>
      </x:c>
      <x:c r="B108" s="20" t="str">
        <x:v>05d17a6f-c6df-5800-bfb7-cdacc04ebc06</x:v>
      </x:c>
      <x:c r="C108" s="20" t="str">
        <x:v>ConnectivityNode</x:v>
      </x:c>
      <x:c r="D108" s="20" t="str">
        <x:v>BWI-C4 breaker-line node</x:v>
      </x:c>
      <x:c r="E108" s="20" t="str">
        <x:v>GI GILIMANUK</x:v>
      </x:c>
      <x:c r="F108" s="20" t="n">
        <x:v>150</x:v>
      </x:c>
      <x:c r="G108" s="20" t="str">
        <x:v>BWI-C4</x:v>
      </x:c>
      <x:c r="H108" s="20" t="str">
        <x:v>ASSUMED</x:v>
      </x:c>
      <x:c r="I108" s="40" t="n">
        <x:v>0.65</x:v>
      </x:c>
      <x:c r="J108" s="20" t="str">
        <x:v>DRAFT</x:v>
      </x:c>
      <x:c r="K108" s="20" t="str"/>
      <x:c r="L108" s="20" t="str">
        <x:v>Connectivity node BWI-C4 breaker-line node.</x:v>
      </x:c>
    </x:row>
    <x:row r="109">
      <x:c r="A109" s="20" t="str">
        <x:v>CN-GIL-BWI-C4-LINE-END</x:v>
      </x:c>
      <x:c r="B109" s="20" t="str">
        <x:v>734e73d8-f375-5637-a61e-0a08f3a6661a</x:v>
      </x:c>
      <x:c r="C109" s="20" t="str">
        <x:v>ConnectivityNode</x:v>
      </x:c>
      <x:c r="D109" s="20" t="str">
        <x:v>BWI-C4 local line-end node</x:v>
      </x:c>
      <x:c r="E109" s="20" t="str">
        <x:v>GI GILIMANUK</x:v>
      </x:c>
      <x:c r="F109" s="20" t="n">
        <x:v>150</x:v>
      </x:c>
      <x:c r="G109" s="20" t="str">
        <x:v>BWI-C4</x:v>
      </x:c>
      <x:c r="H109" s="20" t="str">
        <x:v>SLD_DERIVED</x:v>
      </x:c>
      <x:c r="I109" s="40" t="n">
        <x:v>0.75</x:v>
      </x:c>
      <x:c r="J109" s="20" t="str">
        <x:v>DRAFT</x:v>
      </x:c>
      <x:c r="K109" s="20" t="str"/>
      <x:c r="L109" s="20" t="str">
        <x:v>Connectivity node BWI-C4 local line-end node.</x:v>
      </x:c>
    </x:row>
    <x:row r="110">
      <x:c r="A110" s="20" t="str">
        <x:v>CN-BWI-BWI-C4-BOUNDARY</x:v>
      </x:c>
      <x:c r="B110" s="20" t="str">
        <x:v>f850e285-cf17-50b7-a3a7-3fb02e3b2bf4</x:v>
      </x:c>
      <x:c r="C110" s="20" t="str">
        <x:v>ConnectivityNode</x:v>
      </x:c>
      <x:c r="D110" s="20" t="str">
        <x:v>GI BANYUWANGI BWI-C4 boundary node</x:v>
      </x:c>
      <x:c r="E110" s="20" t="str">
        <x:v>GI BANYUWANGI</x:v>
      </x:c>
      <x:c r="F110" s="20" t="n">
        <x:v>150</x:v>
      </x:c>
      <x:c r="G110" s="20" t="str">
        <x:v>BWI-C4</x:v>
      </x:c>
      <x:c r="H110" s="20" t="str">
        <x:v>SLD_DERIVED</x:v>
      </x:c>
      <x:c r="I110" s="40" t="n">
        <x:v>0.75</x:v>
      </x:c>
      <x:c r="J110" s="20" t="str">
        <x:v>DRAFT</x:v>
      </x:c>
      <x:c r="K110" s="20" t="str"/>
      <x:c r="L110" s="20" t="str">
        <x:v>Connectivity node GI BANYUWANGI BWI-C4 boundary node.</x:v>
      </x:c>
    </x:row>
    <x:row r="111">
      <x:c r="A111" s="20" t="str">
        <x:v>GIL-150-BWI-C4-DS-A</x:v>
      </x:c>
      <x:c r="B111" s="20" t="str">
        <x:v>b5fc65ef-47e5-57d7-af4b-b494770439f3</x:v>
      </x:c>
      <x:c r="C111" s="20" t="str">
        <x:v>Disconnector</x:v>
      </x:c>
      <x:c r="D111" s="20" t="str">
        <x:v>DS BUS A BWI-C4</x:v>
      </x:c>
      <x:c r="E111" s="20" t="str">
        <x:v>GI GILIMANUK</x:v>
      </x:c>
      <x:c r="F111" s="20" t="n">
        <x:v>150</x:v>
      </x:c>
      <x:c r="G111" s="20" t="str">
        <x:v>BWI-C4</x:v>
      </x:c>
      <x:c r="H111" s="20" t="str">
        <x:v>ASSUMED</x:v>
      </x:c>
      <x:c r="I111" s="40" t="n">
        <x:v>0.65</x:v>
      </x:c>
      <x:c r="J111" s="20" t="str">
        <x:v>DRAFT</x:v>
      </x:c>
      <x:c r="K111" s="20" t="str"/>
      <x:c r="L111" s="20" t="str">
        <x:v>Provisional bus-A selector disconnector generated from the standard double-bus single-breaker bay template.</x:v>
      </x:c>
    </x:row>
    <x:row r="112">
      <x:c r="A112" s="20" t="str">
        <x:v>DS::GIL::BWI-C4::BUS-A-T1</x:v>
      </x:c>
      <x:c r="B112" s="20" t="str">
        <x:v>9e25e749-0768-5eb2-bd0d-e31448b6f28a</x:v>
      </x:c>
      <x:c r="C112" s="20" t="str">
        <x:v>Terminal</x:v>
      </x:c>
      <x:c r="D112" s="20" t="str">
        <x:v>1</x:v>
      </x:c>
      <x:c r="E112" s="20" t="str"/>
      <x:c r="F112" s="20" t="str"/>
      <x:c r="G112" s="20" t="str"/>
      <x:c r="H112" s="20" t="str">
        <x:v>ASSUMED</x:v>
      </x:c>
      <x:c r="I112" s="40" t="n">
        <x:v>0.65</x:v>
      </x:c>
      <x:c r="J112" s="20" t="str">
        <x:v>DRAFT</x:v>
      </x:c>
      <x:c r="K112" s="20" t="str"/>
      <x:c r="L112" s="20" t="str">
        <x:v>Terminal 1 of DS BUS A BWI-C4</x:v>
      </x:c>
    </x:row>
    <x:row r="113">
      <x:c r="A113" s="20" t="str">
        <x:v>DS::GIL::BWI-C4::BUS-A-T2</x:v>
      </x:c>
      <x:c r="B113" s="20" t="str">
        <x:v>c5ed0d4b-4d11-5477-bbd6-2f7ad6fea52b</x:v>
      </x:c>
      <x:c r="C113" s="20" t="str">
        <x:v>Terminal</x:v>
      </x:c>
      <x:c r="D113" s="20" t="str">
        <x:v>2</x:v>
      </x:c>
      <x:c r="E113" s="20" t="str"/>
      <x:c r="F113" s="20" t="str"/>
      <x:c r="G113" s="20" t="str"/>
      <x:c r="H113" s="20" t="str">
        <x:v>ASSUMED</x:v>
      </x:c>
      <x:c r="I113" s="40" t="n">
        <x:v>0.65</x:v>
      </x:c>
      <x:c r="J113" s="20" t="str">
        <x:v>DRAFT</x:v>
      </x:c>
      <x:c r="K113" s="20" t="str"/>
      <x:c r="L113" s="20" t="str">
        <x:v>Terminal 2 of DS BUS A BWI-C4</x:v>
      </x:c>
    </x:row>
    <x:row r="114">
      <x:c r="A114" s="20" t="str">
        <x:v>GIL-150-BWI-C4-DS-B</x:v>
      </x:c>
      <x:c r="B114" s="20" t="str">
        <x:v>270d1702-6458-5204-8c0f-95451633323b</x:v>
      </x:c>
      <x:c r="C114" s="20" t="str">
        <x:v>Disconnector</x:v>
      </x:c>
      <x:c r="D114" s="20" t="str">
        <x:v>DS BUS B BWI-C4</x:v>
      </x:c>
      <x:c r="E114" s="20" t="str">
        <x:v>GI GILIMANUK</x:v>
      </x:c>
      <x:c r="F114" s="20" t="n">
        <x:v>150</x:v>
      </x:c>
      <x:c r="G114" s="20" t="str">
        <x:v>BWI-C4</x:v>
      </x:c>
      <x:c r="H114" s="20" t="str">
        <x:v>ASSUMED</x:v>
      </x:c>
      <x:c r="I114" s="40" t="n">
        <x:v>0.65</x:v>
      </x:c>
      <x:c r="J114" s="20" t="str">
        <x:v>DRAFT</x:v>
      </x:c>
      <x:c r="K114" s="20" t="str"/>
      <x:c r="L114" s="20" t="str">
        <x:v>Provisional bus-B selector disconnector generated from the standard double-bus single-breaker bay template.</x:v>
      </x:c>
    </x:row>
    <x:row r="115">
      <x:c r="A115" s="20" t="str">
        <x:v>DS::GIL::BWI-C4::BUS-B-T1</x:v>
      </x:c>
      <x:c r="B115" s="20" t="str">
        <x:v>58c1aa5a-ff48-595b-a8c8-0f5ad97b67da</x:v>
      </x:c>
      <x:c r="C115" s="20" t="str">
        <x:v>Terminal</x:v>
      </x:c>
      <x:c r="D115" s="20" t="str">
        <x:v>1</x:v>
      </x:c>
      <x:c r="E115" s="20" t="str"/>
      <x:c r="F115" s="20" t="str"/>
      <x:c r="G115" s="20" t="str"/>
      <x:c r="H115" s="20" t="str">
        <x:v>ASSUMED</x:v>
      </x:c>
      <x:c r="I115" s="40" t="n">
        <x:v>0.65</x:v>
      </x:c>
      <x:c r="J115" s="20" t="str">
        <x:v>DRAFT</x:v>
      </x:c>
      <x:c r="K115" s="20" t="str"/>
      <x:c r="L115" s="20" t="str">
        <x:v>Terminal 1 of DS BUS B BWI-C4</x:v>
      </x:c>
    </x:row>
    <x:row r="116">
      <x:c r="A116" s="20" t="str">
        <x:v>DS::GIL::BWI-C4::BUS-B-T2</x:v>
      </x:c>
      <x:c r="B116" s="20" t="str">
        <x:v>7f17f492-6902-5479-ba18-e9f3a168cf19</x:v>
      </x:c>
      <x:c r="C116" s="20" t="str">
        <x:v>Terminal</x:v>
      </x:c>
      <x:c r="D116" s="20" t="str">
        <x:v>2</x:v>
      </x:c>
      <x:c r="E116" s="20" t="str"/>
      <x:c r="F116" s="20" t="str"/>
      <x:c r="G116" s="20" t="str"/>
      <x:c r="H116" s="20" t="str">
        <x:v>ASSUMED</x:v>
      </x:c>
      <x:c r="I116" s="40" t="n">
        <x:v>0.65</x:v>
      </x:c>
      <x:c r="J116" s="20" t="str">
        <x:v>DRAFT</x:v>
      </x:c>
      <x:c r="K116" s="20" t="str"/>
      <x:c r="L116" s="20" t="str">
        <x:v>Terminal 2 of DS BUS B BWI-C4</x:v>
      </x:c>
    </x:row>
    <x:row r="117">
      <x:c r="A117" s="20" t="str">
        <x:v>GIL-150-BWI-C4-CB</x:v>
      </x:c>
      <x:c r="B117" s="20" t="str">
        <x:v>b484a8ff-711a-55a4-8a1b-26ff23a40ed9</x:v>
      </x:c>
      <x:c r="C117" s="20" t="str">
        <x:v>Breaker</x:v>
      </x:c>
      <x:c r="D117" s="20" t="str">
        <x:v>CB BWI-C4</x:v>
      </x:c>
      <x:c r="E117" s="20" t="str">
        <x:v>GI GILIMANUK</x:v>
      </x:c>
      <x:c r="F117" s="20" t="n">
        <x:v>150</x:v>
      </x:c>
      <x:c r="G117" s="20" t="str">
        <x:v>BWI-C4</x:v>
      </x:c>
      <x:c r="H117" s="20" t="str">
        <x:v>ASSUMED</x:v>
      </x:c>
      <x:c r="I117" s="40" t="n">
        <x:v>0.7</x:v>
      </x:c>
      <x:c r="J117" s="20" t="str">
        <x:v>DRAFT</x:v>
      </x:c>
      <x:c r="K117" s="20" t="str"/>
      <x:c r="L117" s="20" t="str">
        <x:v>Provisional line circuit breaker generated from the SLD bay position.</x:v>
      </x:c>
    </x:row>
    <x:row r="118">
      <x:c r="A118" s="20" t="str">
        <x:v>CB::GIL::BWI-C4-T1</x:v>
      </x:c>
      <x:c r="B118" s="20" t="str">
        <x:v>a4bf84bd-5254-50a7-a8a4-c0c95fe84980</x:v>
      </x:c>
      <x:c r="C118" s="20" t="str">
        <x:v>Terminal</x:v>
      </x:c>
      <x:c r="D118" s="20" t="str">
        <x:v>1</x:v>
      </x:c>
      <x:c r="E118" s="20" t="str"/>
      <x:c r="F118" s="20" t="str"/>
      <x:c r="G118" s="20" t="str"/>
      <x:c r="H118" s="20" t="str">
        <x:v>ASSUMED</x:v>
      </x:c>
      <x:c r="I118" s="40" t="n">
        <x:v>0.7</x:v>
      </x:c>
      <x:c r="J118" s="20" t="str">
        <x:v>DRAFT</x:v>
      </x:c>
      <x:c r="K118" s="20" t="str"/>
      <x:c r="L118" s="20" t="str">
        <x:v>Terminal 1 of CB BWI-C4</x:v>
      </x:c>
    </x:row>
    <x:row r="119">
      <x:c r="A119" s="20" t="str">
        <x:v>CB::GIL::BWI-C4-T2</x:v>
      </x:c>
      <x:c r="B119" s="20" t="str">
        <x:v>f8011ffc-2b49-5976-b9c6-13f97c6c5508</x:v>
      </x:c>
      <x:c r="C119" s="20" t="str">
        <x:v>Terminal</x:v>
      </x:c>
      <x:c r="D119" s="20" t="str">
        <x:v>2</x:v>
      </x:c>
      <x:c r="E119" s="20" t="str"/>
      <x:c r="F119" s="20" t="str"/>
      <x:c r="G119" s="20" t="str"/>
      <x:c r="H119" s="20" t="str">
        <x:v>ASSUMED</x:v>
      </x:c>
      <x:c r="I119" s="40" t="n">
        <x:v>0.7</x:v>
      </x:c>
      <x:c r="J119" s="20" t="str">
        <x:v>DRAFT</x:v>
      </x:c>
      <x:c r="K119" s="20" t="str"/>
      <x:c r="L119" s="20" t="str">
        <x:v>Terminal 2 of CB BWI-C4</x:v>
      </x:c>
    </x:row>
    <x:row r="120">
      <x:c r="A120" s="20" t="str">
        <x:v>GIL-150-BWI-C4-DS-LINE</x:v>
      </x:c>
      <x:c r="B120" s="20" t="str">
        <x:v>c93f3a5d-fcfc-52c2-83a9-ae787599760b</x:v>
      </x:c>
      <x:c r="C120" s="20" t="str">
        <x:v>Disconnector</x:v>
      </x:c>
      <x:c r="D120" s="20" t="str">
        <x:v>DS LINE BWI-C4</x:v>
      </x:c>
      <x:c r="E120" s="20" t="str">
        <x:v>GI GILIMANUK</x:v>
      </x:c>
      <x:c r="F120" s="20" t="n">
        <x:v>150</x:v>
      </x:c>
      <x:c r="G120" s="20" t="str">
        <x:v>BWI-C4</x:v>
      </x:c>
      <x:c r="H120" s="20" t="str">
        <x:v>ASSUMED</x:v>
      </x:c>
      <x:c r="I120" s="40" t="n">
        <x:v>0.65</x:v>
      </x:c>
      <x:c r="J120" s="20" t="str">
        <x:v>DRAFT</x:v>
      </x:c>
      <x:c r="K120" s="20" t="str"/>
      <x:c r="L120" s="20" t="str">
        <x:v>Provisional line-side disconnector generated from the standard bay template.</x:v>
      </x:c>
    </x:row>
    <x:row r="121">
      <x:c r="A121" s="20" t="str">
        <x:v>DS::GIL::BWI-C4::LINE-T1</x:v>
      </x:c>
      <x:c r="B121" s="20" t="str">
        <x:v>3759472e-0038-5e76-b960-ce99d1fd3e3a</x:v>
      </x:c>
      <x:c r="C121" s="20" t="str">
        <x:v>Terminal</x:v>
      </x:c>
      <x:c r="D121" s="20" t="str">
        <x:v>1</x:v>
      </x:c>
      <x:c r="E121" s="20" t="str"/>
      <x:c r="F121" s="20" t="str"/>
      <x:c r="G121" s="20" t="str"/>
      <x:c r="H121" s="20" t="str">
        <x:v>ASSUMED</x:v>
      </x:c>
      <x:c r="I121" s="40" t="n">
        <x:v>0.65</x:v>
      </x:c>
      <x:c r="J121" s="20" t="str">
        <x:v>DRAFT</x:v>
      </x:c>
      <x:c r="K121" s="20" t="str"/>
      <x:c r="L121" s="20" t="str">
        <x:v>Terminal 1 of DS LINE BWI-C4</x:v>
      </x:c>
    </x:row>
    <x:row r="122">
      <x:c r="A122" s="20" t="str">
        <x:v>DS::GIL::BWI-C4::LINE-T2</x:v>
      </x:c>
      <x:c r="B122" s="20" t="str">
        <x:v>1e702f61-55c8-50fe-9698-7cccda3406bb</x:v>
      </x:c>
      <x:c r="C122" s="20" t="str">
        <x:v>Terminal</x:v>
      </x:c>
      <x:c r="D122" s="20" t="str">
        <x:v>2</x:v>
      </x:c>
      <x:c r="E122" s="20" t="str"/>
      <x:c r="F122" s="20" t="str"/>
      <x:c r="G122" s="20" t="str"/>
      <x:c r="H122" s="20" t="str">
        <x:v>ASSUMED</x:v>
      </x:c>
      <x:c r="I122" s="40" t="n">
        <x:v>0.65</x:v>
      </x:c>
      <x:c r="J122" s="20" t="str">
        <x:v>DRAFT</x:v>
      </x:c>
      <x:c r="K122" s="20" t="str"/>
      <x:c r="L122" s="20" t="str">
        <x:v>Terminal 2 of DS LINE BWI-C4</x:v>
      </x:c>
    </x:row>
    <x:row r="123">
      <x:c r="A123" s="20" t="str">
        <x:v>LINE-GIL-BWI-C4</x:v>
      </x:c>
      <x:c r="B123" s="20" t="str">
        <x:v>eae30fe2-a9ca-58c2-aa9f-3c0a3e2c9068</x:v>
      </x:c>
      <x:c r="C123" s="20" t="str">
        <x:v>Line</x:v>
      </x:c>
      <x:c r="D123" s="20" t="str">
        <x:v>LINE GILIMANUK–GI BANYUWANGI BWI-C4</x:v>
      </x:c>
      <x:c r="E123" s="20" t="str"/>
      <x:c r="F123" s="20" t="str"/>
      <x:c r="G123" s="20" t="str"/>
      <x:c r="H123" s="20" t="str">
        <x:v>SLD_DERIVED</x:v>
      </x:c>
      <x:c r="I123" s="40" t="n">
        <x:v>0.75</x:v>
      </x:c>
      <x:c r="J123" s="20" t="str">
        <x:v>DRAFT</x:v>
      </x:c>
      <x:c r="K123" s="20" t="str"/>
      <x:c r="L123" s="20" t="str">
        <x:v>Canonical line container for circuit BWI-C4.</x:v>
      </x:c>
    </x:row>
    <x:row r="124">
      <x:c r="A124" s="20" t="str">
        <x:v>GIL-BWI-150-C4</x:v>
      </x:c>
      <x:c r="B124" s="20" t="str">
        <x:v>5de9cd1d-e9d3-5e31-84db-2329c9005e0b</x:v>
      </x:c>
      <x:c r="C124" s="20" t="str">
        <x:v>ACLineSegment</x:v>
      </x:c>
      <x:c r="D124" s="20" t="str">
        <x:v>AC LINE BWI-C4</x:v>
      </x:c>
      <x:c r="E124" s="20" t="str">
        <x:v>INTER-GI</x:v>
      </x:c>
      <x:c r="F124" s="20" t="n">
        <x:v>150</x:v>
      </x:c>
      <x:c r="G124" s="20" t="str">
        <x:v>BWI-C4</x:v>
      </x:c>
      <x:c r="H124" s="20" t="str">
        <x:v>SLD_AND_SOURCE_RECONCILED</x:v>
      </x:c>
      <x:c r="I124" s="40" t="n">
        <x:v>0.75</x:v>
      </x:c>
      <x:c r="J124" s="20" t="str">
        <x:v>DRAFT</x:v>
      </x:c>
      <x:c r="K124" s="20" t="str">
        <x:v>a8dc4a8b-1443-409f-89bc-aaf88cad27d1</x:v>
      </x:c>
      <x:c r="L124" s="20" t="str">
        <x:v>Canonical ACLineSegment GILIMANUK–GI BANYUWANGI circuit 4.</x:v>
      </x:c>
    </x:row>
    <x:row r="125">
      <x:c r="A125" s="20" t="str">
        <x:v>ACLINE::BWI-C4-T1</x:v>
      </x:c>
      <x:c r="B125" s="20" t="str">
        <x:v>25ef6c8a-9b18-539f-9716-cb421a07d974</x:v>
      </x:c>
      <x:c r="C125" s="20" t="str">
        <x:v>Terminal</x:v>
      </x:c>
      <x:c r="D125" s="20" t="str">
        <x:v>1</x:v>
      </x:c>
      <x:c r="E125" s="20" t="str"/>
      <x:c r="F125" s="20" t="str"/>
      <x:c r="G125" s="20" t="str"/>
      <x:c r="H125" s="20" t="str">
        <x:v>SLD_AND_SOURCE_RECONCILED</x:v>
      </x:c>
      <x:c r="I125" s="40" t="n">
        <x:v>0.75</x:v>
      </x:c>
      <x:c r="J125" s="20" t="str">
        <x:v>DRAFT</x:v>
      </x:c>
      <x:c r="K125" s="20" t="str"/>
      <x:c r="L125" s="20" t="str">
        <x:v>Terminal 1 of AC LINE BWI-C4</x:v>
      </x:c>
    </x:row>
    <x:row r="126">
      <x:c r="A126" s="20" t="str">
        <x:v>ACLINE::BWI-C4-T2</x:v>
      </x:c>
      <x:c r="B126" s="20" t="str">
        <x:v>00c8a7d4-9c84-532f-ab15-9e84e8d623a4</x:v>
      </x:c>
      <x:c r="C126" s="20" t="str">
        <x:v>Terminal</x:v>
      </x:c>
      <x:c r="D126" s="20" t="str">
        <x:v>2</x:v>
      </x:c>
      <x:c r="E126" s="20" t="str"/>
      <x:c r="F126" s="20" t="str"/>
      <x:c r="G126" s="20" t="str"/>
      <x:c r="H126" s="20" t="str">
        <x:v>SLD_AND_SOURCE_RECONCILED</x:v>
      </x:c>
      <x:c r="I126" s="40" t="n">
        <x:v>0.75</x:v>
      </x:c>
      <x:c r="J126" s="20" t="str">
        <x:v>DRAFT</x:v>
      </x:c>
      <x:c r="K126" s="20" t="str"/>
      <x:c r="L126" s="20" t="str">
        <x:v>Terminal 2 of AC LINE BWI-C4</x:v>
      </x:c>
    </x:row>
    <x:row r="127">
      <x:c r="A127" s="20" t="str">
        <x:v>GIL-150-BAY-NEG-C1</x:v>
      </x:c>
      <x:c r="B127" s="20" t="str">
        <x:v>88731675-3079-5233-86d5-028e372fb21a</x:v>
      </x:c>
      <x:c r="C127" s="20" t="str">
        <x:v>Bay</x:v>
      </x:c>
      <x:c r="D127" s="20" t="str">
        <x:v>LINE BAY NEG-C1 GILIMANUK</x:v>
      </x:c>
      <x:c r="E127" s="20" t="str">
        <x:v>GI GILIMANUK</x:v>
      </x:c>
      <x:c r="F127" s="20" t="n">
        <x:v>150</x:v>
      </x:c>
      <x:c r="G127" s="20" t="str">
        <x:v>NEG-C1</x:v>
      </x:c>
      <x:c r="H127" s="20" t="str">
        <x:v>SLD_DERIVED</x:v>
      </x:c>
      <x:c r="I127" s="40" t="n">
        <x:v>0.9</x:v>
      </x:c>
      <x:c r="J127" s="20" t="str">
        <x:v>DRAFT</x:v>
      </x:c>
      <x:c r="K127" s="20" t="str">
        <x:v>c7d16c5d-4c14-4599-9543-e1e18782ae2b; 016adbf4-f683-439c-bf56-672223e7296c</x:v>
      </x:c>
      <x:c r="L127" s="20" t="str">
        <x:v>Canonical local line bay for GILIMANUK–GI NEGARA circuit 1.</x:v>
      </x:c>
    </x:row>
    <x:row r="128">
      <x:c r="A128" s="20" t="str">
        <x:v>CN-GIL-NEG-C1-SELECT</x:v>
      </x:c>
      <x:c r="B128" s="20" t="str">
        <x:v>1289c541-be4e-5e55-b5c6-84ae7f3e07da</x:v>
      </x:c>
      <x:c r="C128" s="20" t="str">
        <x:v>ConnectivityNode</x:v>
      </x:c>
      <x:c r="D128" s="20" t="str">
        <x:v>NEG-C1 bus-selection node</x:v>
      </x:c>
      <x:c r="E128" s="20" t="str">
        <x:v>GI GILIMANUK</x:v>
      </x:c>
      <x:c r="F128" s="20" t="n">
        <x:v>150</x:v>
      </x:c>
      <x:c r="G128" s="20" t="str">
        <x:v>NEG-C1</x:v>
      </x:c>
      <x:c r="H128" s="20" t="str">
        <x:v>ASSUMED</x:v>
      </x:c>
      <x:c r="I128" s="40" t="n">
        <x:v>0.65</x:v>
      </x:c>
      <x:c r="J128" s="20" t="str">
        <x:v>DRAFT</x:v>
      </x:c>
      <x:c r="K128" s="20" t="str"/>
      <x:c r="L128" s="20" t="str">
        <x:v>Connectivity node NEG-C1 bus-selection node.</x:v>
      </x:c>
    </x:row>
    <x:row r="129">
      <x:c r="A129" s="20" t="str">
        <x:v>CN-GIL-NEG-C1-CB-LINE</x:v>
      </x:c>
      <x:c r="B129" s="20" t="str">
        <x:v>5db3e559-0959-5bbf-82d8-a90b6f7a0033</x:v>
      </x:c>
      <x:c r="C129" s="20" t="str">
        <x:v>ConnectivityNode</x:v>
      </x:c>
      <x:c r="D129" s="20" t="str">
        <x:v>NEG-C1 breaker-line node</x:v>
      </x:c>
      <x:c r="E129" s="20" t="str">
        <x:v>GI GILIMANUK</x:v>
      </x:c>
      <x:c r="F129" s="20" t="n">
        <x:v>150</x:v>
      </x:c>
      <x:c r="G129" s="20" t="str">
        <x:v>NEG-C1</x:v>
      </x:c>
      <x:c r="H129" s="20" t="str">
        <x:v>ASSUMED</x:v>
      </x:c>
      <x:c r="I129" s="40" t="n">
        <x:v>0.65</x:v>
      </x:c>
      <x:c r="J129" s="20" t="str">
        <x:v>DRAFT</x:v>
      </x:c>
      <x:c r="K129" s="20" t="str"/>
      <x:c r="L129" s="20" t="str">
        <x:v>Connectivity node NEG-C1 breaker-line node.</x:v>
      </x:c>
    </x:row>
    <x:row r="130">
      <x:c r="A130" s="20" t="str">
        <x:v>CN-GIL-NEG-C1-LINE-END</x:v>
      </x:c>
      <x:c r="B130" s="20" t="str">
        <x:v>7c80a368-b3f4-5530-ab13-be04f62ff994</x:v>
      </x:c>
      <x:c r="C130" s="20" t="str">
        <x:v>ConnectivityNode</x:v>
      </x:c>
      <x:c r="D130" s="20" t="str">
        <x:v>NEG-C1 local line-end node</x:v>
      </x:c>
      <x:c r="E130" s="20" t="str">
        <x:v>GI GILIMANUK</x:v>
      </x:c>
      <x:c r="F130" s="20" t="n">
        <x:v>150</x:v>
      </x:c>
      <x:c r="G130" s="20" t="str">
        <x:v>NEG-C1</x:v>
      </x:c>
      <x:c r="H130" s="20" t="str">
        <x:v>SLD_DERIVED</x:v>
      </x:c>
      <x:c r="I130" s="40" t="n">
        <x:v>0.9</x:v>
      </x:c>
      <x:c r="J130" s="20" t="str">
        <x:v>DRAFT</x:v>
      </x:c>
      <x:c r="K130" s="20" t="str"/>
      <x:c r="L130" s="20" t="str">
        <x:v>Connectivity node NEG-C1 local line-end node.</x:v>
      </x:c>
    </x:row>
    <x:row r="131">
      <x:c r="A131" s="20" t="str">
        <x:v>CN-NEG-NEG-C1-BOUNDARY</x:v>
      </x:c>
      <x:c r="B131" s="20" t="str">
        <x:v>d93e73a1-13c2-551b-ad99-bacc3dccda3a</x:v>
      </x:c>
      <x:c r="C131" s="20" t="str">
        <x:v>ConnectivityNode</x:v>
      </x:c>
      <x:c r="D131" s="20" t="str">
        <x:v>GI NEGARA NEG-C1 boundary node</x:v>
      </x:c>
      <x:c r="E131" s="20" t="str">
        <x:v>GI NEGARA</x:v>
      </x:c>
      <x:c r="F131" s="20" t="n">
        <x:v>150</x:v>
      </x:c>
      <x:c r="G131" s="20" t="str">
        <x:v>NEG-C1</x:v>
      </x:c>
      <x:c r="H131" s="20" t="str">
        <x:v>SLD_DERIVED</x:v>
      </x:c>
      <x:c r="I131" s="40" t="n">
        <x:v>0.9</x:v>
      </x:c>
      <x:c r="J131" s="20" t="str">
        <x:v>DRAFT</x:v>
      </x:c>
      <x:c r="K131" s="20" t="str"/>
      <x:c r="L131" s="20" t="str">
        <x:v>Connectivity node GI NEGARA NEG-C1 boundary node.</x:v>
      </x:c>
    </x:row>
    <x:row r="132">
      <x:c r="A132" s="20" t="str">
        <x:v>GIL-150-NEG-C1-DS-A</x:v>
      </x:c>
      <x:c r="B132" s="20" t="str">
        <x:v>7d035e0d-1b25-58d5-9598-508bbe6c466a</x:v>
      </x:c>
      <x:c r="C132" s="20" t="str">
        <x:v>Disconnector</x:v>
      </x:c>
      <x:c r="D132" s="20" t="str">
        <x:v>DS BUS A NEG-C1</x:v>
      </x:c>
      <x:c r="E132" s="20" t="str">
        <x:v>GI GILIMANUK</x:v>
      </x:c>
      <x:c r="F132" s="20" t="n">
        <x:v>150</x:v>
      </x:c>
      <x:c r="G132" s="20" t="str">
        <x:v>NEG-C1</x:v>
      </x:c>
      <x:c r="H132" s="20" t="str">
        <x:v>ASSUMED</x:v>
      </x:c>
      <x:c r="I132" s="40" t="n">
        <x:v>0.65</x:v>
      </x:c>
      <x:c r="J132" s="20" t="str">
        <x:v>DRAFT</x:v>
      </x:c>
      <x:c r="K132" s="20" t="str"/>
      <x:c r="L132" s="20" t="str">
        <x:v>Provisional bus-A selector disconnector generated from the standard double-bus single-breaker bay template.</x:v>
      </x:c>
    </x:row>
    <x:row r="133">
      <x:c r="A133" s="20" t="str">
        <x:v>DS::GIL::NEG-C1::BUS-A-T1</x:v>
      </x:c>
      <x:c r="B133" s="20" t="str">
        <x:v>810b502d-b07e-5efd-b98a-d1431ea1e72a</x:v>
      </x:c>
      <x:c r="C133" s="20" t="str">
        <x:v>Terminal</x:v>
      </x:c>
      <x:c r="D133" s="20" t="str">
        <x:v>1</x:v>
      </x:c>
      <x:c r="E133" s="20" t="str"/>
      <x:c r="F133" s="20" t="str"/>
      <x:c r="G133" s="20" t="str"/>
      <x:c r="H133" s="20" t="str">
        <x:v>ASSUMED</x:v>
      </x:c>
      <x:c r="I133" s="40" t="n">
        <x:v>0.65</x:v>
      </x:c>
      <x:c r="J133" s="20" t="str">
        <x:v>DRAFT</x:v>
      </x:c>
      <x:c r="K133" s="20" t="str"/>
      <x:c r="L133" s="20" t="str">
        <x:v>Terminal 1 of DS BUS A NEG-C1</x:v>
      </x:c>
    </x:row>
    <x:row r="134">
      <x:c r="A134" s="20" t="str">
        <x:v>DS::GIL::NEG-C1::BUS-A-T2</x:v>
      </x:c>
      <x:c r="B134" s="20" t="str">
        <x:v>39c81c9f-b1cc-55c9-8150-cab9e0426181</x:v>
      </x:c>
      <x:c r="C134" s="20" t="str">
        <x:v>Terminal</x:v>
      </x:c>
      <x:c r="D134" s="20" t="str">
        <x:v>2</x:v>
      </x:c>
      <x:c r="E134" s="20" t="str"/>
      <x:c r="F134" s="20" t="str"/>
      <x:c r="G134" s="20" t="str"/>
      <x:c r="H134" s="20" t="str">
        <x:v>ASSUMED</x:v>
      </x:c>
      <x:c r="I134" s="40" t="n">
        <x:v>0.65</x:v>
      </x:c>
      <x:c r="J134" s="20" t="str">
        <x:v>DRAFT</x:v>
      </x:c>
      <x:c r="K134" s="20" t="str"/>
      <x:c r="L134" s="20" t="str">
        <x:v>Terminal 2 of DS BUS A NEG-C1</x:v>
      </x:c>
    </x:row>
    <x:row r="135">
      <x:c r="A135" s="20" t="str">
        <x:v>GIL-150-NEG-C1-DS-B</x:v>
      </x:c>
      <x:c r="B135" s="20" t="str">
        <x:v>117137f0-9f60-51b9-9e9c-0ac6cc287edb</x:v>
      </x:c>
      <x:c r="C135" s="20" t="str">
        <x:v>Disconnector</x:v>
      </x:c>
      <x:c r="D135" s="20" t="str">
        <x:v>DS BUS B NEG-C1</x:v>
      </x:c>
      <x:c r="E135" s="20" t="str">
        <x:v>GI GILIMANUK</x:v>
      </x:c>
      <x:c r="F135" s="20" t="n">
        <x:v>150</x:v>
      </x:c>
      <x:c r="G135" s="20" t="str">
        <x:v>NEG-C1</x:v>
      </x:c>
      <x:c r="H135" s="20" t="str">
        <x:v>ASSUMED</x:v>
      </x:c>
      <x:c r="I135" s="40" t="n">
        <x:v>0.65</x:v>
      </x:c>
      <x:c r="J135" s="20" t="str">
        <x:v>DRAFT</x:v>
      </x:c>
      <x:c r="K135" s="20" t="str"/>
      <x:c r="L135" s="20" t="str">
        <x:v>Provisional bus-B selector disconnector generated from the standard double-bus single-breaker bay template.</x:v>
      </x:c>
    </x:row>
    <x:row r="136">
      <x:c r="A136" s="20" t="str">
        <x:v>DS::GIL::NEG-C1::BUS-B-T1</x:v>
      </x:c>
      <x:c r="B136" s="20" t="str">
        <x:v>d7c091a0-d176-5bdc-9fc0-53eda2b9e592</x:v>
      </x:c>
      <x:c r="C136" s="20" t="str">
        <x:v>Terminal</x:v>
      </x:c>
      <x:c r="D136" s="20" t="str">
        <x:v>1</x:v>
      </x:c>
      <x:c r="E136" s="20" t="str"/>
      <x:c r="F136" s="20" t="str"/>
      <x:c r="G136" s="20" t="str"/>
      <x:c r="H136" s="20" t="str">
        <x:v>ASSUMED</x:v>
      </x:c>
      <x:c r="I136" s="40" t="n">
        <x:v>0.65</x:v>
      </x:c>
      <x:c r="J136" s="20" t="str">
        <x:v>DRAFT</x:v>
      </x:c>
      <x:c r="K136" s="20" t="str"/>
      <x:c r="L136" s="20" t="str">
        <x:v>Terminal 1 of DS BUS B NEG-C1</x:v>
      </x:c>
    </x:row>
    <x:row r="137">
      <x:c r="A137" s="20" t="str">
        <x:v>DS::GIL::NEG-C1::BUS-B-T2</x:v>
      </x:c>
      <x:c r="B137" s="20" t="str">
        <x:v>8926b82b-3f73-5d0b-a942-2d1dc1380e88</x:v>
      </x:c>
      <x:c r="C137" s="20" t="str">
        <x:v>Terminal</x:v>
      </x:c>
      <x:c r="D137" s="20" t="str">
        <x:v>2</x:v>
      </x:c>
      <x:c r="E137" s="20" t="str"/>
      <x:c r="F137" s="20" t="str"/>
      <x:c r="G137" s="20" t="str"/>
      <x:c r="H137" s="20" t="str">
        <x:v>ASSUMED</x:v>
      </x:c>
      <x:c r="I137" s="40" t="n">
        <x:v>0.65</x:v>
      </x:c>
      <x:c r="J137" s="20" t="str">
        <x:v>DRAFT</x:v>
      </x:c>
      <x:c r="K137" s="20" t="str"/>
      <x:c r="L137" s="20" t="str">
        <x:v>Terminal 2 of DS BUS B NEG-C1</x:v>
      </x:c>
    </x:row>
    <x:row r="138">
      <x:c r="A138" s="20" t="str">
        <x:v>GIL-150-NEG-C1-CB</x:v>
      </x:c>
      <x:c r="B138" s="20" t="str">
        <x:v>fd00cfd0-cc00-5ea1-b037-72b515041a98</x:v>
      </x:c>
      <x:c r="C138" s="20" t="str">
        <x:v>Breaker</x:v>
      </x:c>
      <x:c r="D138" s="20" t="str">
        <x:v>CB NEG-C1</x:v>
      </x:c>
      <x:c r="E138" s="20" t="str">
        <x:v>GI GILIMANUK</x:v>
      </x:c>
      <x:c r="F138" s="20" t="n">
        <x:v>150</x:v>
      </x:c>
      <x:c r="G138" s="20" t="str">
        <x:v>NEG-C1</x:v>
      </x:c>
      <x:c r="H138" s="20" t="str">
        <x:v>ASSUMED</x:v>
      </x:c>
      <x:c r="I138" s="40" t="n">
        <x:v>0.7</x:v>
      </x:c>
      <x:c r="J138" s="20" t="str">
        <x:v>DRAFT</x:v>
      </x:c>
      <x:c r="K138" s="20" t="str"/>
      <x:c r="L138" s="20" t="str">
        <x:v>Provisional line circuit breaker generated from the SLD bay position.</x:v>
      </x:c>
    </x:row>
    <x:row r="139">
      <x:c r="A139" s="20" t="str">
        <x:v>CB::GIL::NEG-C1-T1</x:v>
      </x:c>
      <x:c r="B139" s="20" t="str">
        <x:v>57134e68-4b7e-5ee8-8b86-c7409aec2ab5</x:v>
      </x:c>
      <x:c r="C139" s="20" t="str">
        <x:v>Terminal</x:v>
      </x:c>
      <x:c r="D139" s="20" t="str">
        <x:v>1</x:v>
      </x:c>
      <x:c r="E139" s="20" t="str"/>
      <x:c r="F139" s="20" t="str"/>
      <x:c r="G139" s="20" t="str"/>
      <x:c r="H139" s="20" t="str">
        <x:v>ASSUMED</x:v>
      </x:c>
      <x:c r="I139" s="40" t="n">
        <x:v>0.7</x:v>
      </x:c>
      <x:c r="J139" s="20" t="str">
        <x:v>DRAFT</x:v>
      </x:c>
      <x:c r="K139" s="20" t="str"/>
      <x:c r="L139" s="20" t="str">
        <x:v>Terminal 1 of CB NEG-C1</x:v>
      </x:c>
    </x:row>
    <x:row r="140">
      <x:c r="A140" s="20" t="str">
        <x:v>CB::GIL::NEG-C1-T2</x:v>
      </x:c>
      <x:c r="B140" s="20" t="str">
        <x:v>2af0e65b-e338-54c6-bb62-a11de3280bf7</x:v>
      </x:c>
      <x:c r="C140" s="20" t="str">
        <x:v>Terminal</x:v>
      </x:c>
      <x:c r="D140" s="20" t="str">
        <x:v>2</x:v>
      </x:c>
      <x:c r="E140" s="20" t="str"/>
      <x:c r="F140" s="20" t="str"/>
      <x:c r="G140" s="20" t="str"/>
      <x:c r="H140" s="20" t="str">
        <x:v>ASSUMED</x:v>
      </x:c>
      <x:c r="I140" s="40" t="n">
        <x:v>0.7</x:v>
      </x:c>
      <x:c r="J140" s="20" t="str">
        <x:v>DRAFT</x:v>
      </x:c>
      <x:c r="K140" s="20" t="str"/>
      <x:c r="L140" s="20" t="str">
        <x:v>Terminal 2 of CB NEG-C1</x:v>
      </x:c>
    </x:row>
    <x:row r="141">
      <x:c r="A141" s="20" t="str">
        <x:v>GIL-150-NEG-C1-DS-LINE</x:v>
      </x:c>
      <x:c r="B141" s="20" t="str">
        <x:v>8a5eb9bc-38e7-57c7-ad71-889a1492da8e</x:v>
      </x:c>
      <x:c r="C141" s="20" t="str">
        <x:v>Disconnector</x:v>
      </x:c>
      <x:c r="D141" s="20" t="str">
        <x:v>DS LINE NEG-C1</x:v>
      </x:c>
      <x:c r="E141" s="20" t="str">
        <x:v>GI GILIMANUK</x:v>
      </x:c>
      <x:c r="F141" s="20" t="n">
        <x:v>150</x:v>
      </x:c>
      <x:c r="G141" s="20" t="str">
        <x:v>NEG-C1</x:v>
      </x:c>
      <x:c r="H141" s="20" t="str">
        <x:v>ASSUMED</x:v>
      </x:c>
      <x:c r="I141" s="40" t="n">
        <x:v>0.65</x:v>
      </x:c>
      <x:c r="J141" s="20" t="str">
        <x:v>DRAFT</x:v>
      </x:c>
      <x:c r="K141" s="20" t="str"/>
      <x:c r="L141" s="20" t="str">
        <x:v>Provisional line-side disconnector generated from the standard bay template.</x:v>
      </x:c>
    </x:row>
    <x:row r="142">
      <x:c r="A142" s="20" t="str">
        <x:v>DS::GIL::NEG-C1::LINE-T1</x:v>
      </x:c>
      <x:c r="B142" s="20" t="str">
        <x:v>25dca83a-b1b4-516f-93bf-66e50f60873b</x:v>
      </x:c>
      <x:c r="C142" s="20" t="str">
        <x:v>Terminal</x:v>
      </x:c>
      <x:c r="D142" s="20" t="str">
        <x:v>1</x:v>
      </x:c>
      <x:c r="E142" s="20" t="str"/>
      <x:c r="F142" s="20" t="str"/>
      <x:c r="G142" s="20" t="str"/>
      <x:c r="H142" s="20" t="str">
        <x:v>ASSUMED</x:v>
      </x:c>
      <x:c r="I142" s="40" t="n">
        <x:v>0.65</x:v>
      </x:c>
      <x:c r="J142" s="20" t="str">
        <x:v>DRAFT</x:v>
      </x:c>
      <x:c r="K142" s="20" t="str"/>
      <x:c r="L142" s="20" t="str">
        <x:v>Terminal 1 of DS LINE NEG-C1</x:v>
      </x:c>
    </x:row>
    <x:row r="143">
      <x:c r="A143" s="20" t="str">
        <x:v>DS::GIL::NEG-C1::LINE-T2</x:v>
      </x:c>
      <x:c r="B143" s="20" t="str">
        <x:v>5492221b-34f6-5d58-8816-bb2cd6681866</x:v>
      </x:c>
      <x:c r="C143" s="20" t="str">
        <x:v>Terminal</x:v>
      </x:c>
      <x:c r="D143" s="20" t="str">
        <x:v>2</x:v>
      </x:c>
      <x:c r="E143" s="20" t="str"/>
      <x:c r="F143" s="20" t="str"/>
      <x:c r="G143" s="20" t="str"/>
      <x:c r="H143" s="20" t="str">
        <x:v>ASSUMED</x:v>
      </x:c>
      <x:c r="I143" s="40" t="n">
        <x:v>0.65</x:v>
      </x:c>
      <x:c r="J143" s="20" t="str">
        <x:v>DRAFT</x:v>
      </x:c>
      <x:c r="K143" s="20" t="str"/>
      <x:c r="L143" s="20" t="str">
        <x:v>Terminal 2 of DS LINE NEG-C1</x:v>
      </x:c>
    </x:row>
    <x:row r="144">
      <x:c r="A144" s="20" t="str">
        <x:v>LINE-GIL-NEG-C1</x:v>
      </x:c>
      <x:c r="B144" s="20" t="str">
        <x:v>43dac8a5-c669-5724-9217-cce2921f6053</x:v>
      </x:c>
      <x:c r="C144" s="20" t="str">
        <x:v>Line</x:v>
      </x:c>
      <x:c r="D144" s="20" t="str">
        <x:v>LINE GILIMANUK–GI NEGARA NEG-C1</x:v>
      </x:c>
      <x:c r="E144" s="20" t="str"/>
      <x:c r="F144" s="20" t="str"/>
      <x:c r="G144" s="20" t="str"/>
      <x:c r="H144" s="20" t="str">
        <x:v>SLD_DERIVED</x:v>
      </x:c>
      <x:c r="I144" s="40" t="n">
        <x:v>0.9</x:v>
      </x:c>
      <x:c r="J144" s="20" t="str">
        <x:v>DRAFT</x:v>
      </x:c>
      <x:c r="K144" s="20" t="str"/>
      <x:c r="L144" s="20" t="str">
        <x:v>Canonical line container for circuit NEG-C1.</x:v>
      </x:c>
    </x:row>
    <x:row r="145">
      <x:c r="A145" s="20" t="str">
        <x:v>GIL-NEG-150-C1</x:v>
      </x:c>
      <x:c r="B145" s="20" t="str">
        <x:v>2f68b40c-2271-5d6d-8cd0-1de8d3492e7f</x:v>
      </x:c>
      <x:c r="C145" s="20" t="str">
        <x:v>ACLineSegment</x:v>
      </x:c>
      <x:c r="D145" s="20" t="str">
        <x:v>AC LINE NEG-C1</x:v>
      </x:c>
      <x:c r="E145" s="20" t="str">
        <x:v>INTER-GI</x:v>
      </x:c>
      <x:c r="F145" s="20" t="n">
        <x:v>150</x:v>
      </x:c>
      <x:c r="G145" s="20" t="str">
        <x:v>NEG-C1</x:v>
      </x:c>
      <x:c r="H145" s="20" t="str">
        <x:v>SLD_AND_SOURCE_RECONCILED</x:v>
      </x:c>
      <x:c r="I145" s="40" t="n">
        <x:v>0.9</x:v>
      </x:c>
      <x:c r="J145" s="20" t="str">
        <x:v>DRAFT</x:v>
      </x:c>
      <x:c r="K145" s="20" t="str">
        <x:v>c7d16c5d-4c14-4599-9543-e1e18782ae2b; 016adbf4-f683-439c-bf56-672223e7296c</x:v>
      </x:c>
      <x:c r="L145" s="20" t="str">
        <x:v>Canonical ACLineSegment GILIMANUK–GI NEGARA circuit 1.</x:v>
      </x:c>
    </x:row>
    <x:row r="146">
      <x:c r="A146" s="20" t="str">
        <x:v>ACLINE::NEG-C1-T1</x:v>
      </x:c>
      <x:c r="B146" s="20" t="str">
        <x:v>da2dcf63-18e9-51df-bd61-fc5d36ec271f</x:v>
      </x:c>
      <x:c r="C146" s="20" t="str">
        <x:v>Terminal</x:v>
      </x:c>
      <x:c r="D146" s="20" t="str">
        <x:v>1</x:v>
      </x:c>
      <x:c r="E146" s="20" t="str"/>
      <x:c r="F146" s="20" t="str"/>
      <x:c r="G146" s="20" t="str"/>
      <x:c r="H146" s="20" t="str">
        <x:v>SLD_AND_SOURCE_RECONCILED</x:v>
      </x:c>
      <x:c r="I146" s="40" t="n">
        <x:v>0.9</x:v>
      </x:c>
      <x:c r="J146" s="20" t="str">
        <x:v>DRAFT</x:v>
      </x:c>
      <x:c r="K146" s="20" t="str"/>
      <x:c r="L146" s="20" t="str">
        <x:v>Terminal 1 of AC LINE NEG-C1</x:v>
      </x:c>
    </x:row>
    <x:row r="147">
      <x:c r="A147" s="20" t="str">
        <x:v>ACLINE::NEG-C1-T2</x:v>
      </x:c>
      <x:c r="B147" s="20" t="str">
        <x:v>f3b53222-e860-52ec-956e-b9a96f0ebdf9</x:v>
      </x:c>
      <x:c r="C147" s="20" t="str">
        <x:v>Terminal</x:v>
      </x:c>
      <x:c r="D147" s="20" t="str">
        <x:v>2</x:v>
      </x:c>
      <x:c r="E147" s="20" t="str"/>
      <x:c r="F147" s="20" t="str"/>
      <x:c r="G147" s="20" t="str"/>
      <x:c r="H147" s="20" t="str">
        <x:v>SLD_AND_SOURCE_RECONCILED</x:v>
      </x:c>
      <x:c r="I147" s="40" t="n">
        <x:v>0.9</x:v>
      </x:c>
      <x:c r="J147" s="20" t="str">
        <x:v>DRAFT</x:v>
      </x:c>
      <x:c r="K147" s="20" t="str"/>
      <x:c r="L147" s="20" t="str">
        <x:v>Terminal 2 of AC LINE NEG-C1</x:v>
      </x:c>
    </x:row>
    <x:row r="148">
      <x:c r="A148" s="20" t="str">
        <x:v>GIL-150-BAY-NEG-C2</x:v>
      </x:c>
      <x:c r="B148" s="20" t="str">
        <x:v>214a8681-0d1e-5b45-9d55-c51fe82d5d55</x:v>
      </x:c>
      <x:c r="C148" s="20" t="str">
        <x:v>Bay</x:v>
      </x:c>
      <x:c r="D148" s="20" t="str">
        <x:v>LINE BAY NEG-C2 GILIMANUK</x:v>
      </x:c>
      <x:c r="E148" s="20" t="str">
        <x:v>GI GILIMANUK</x:v>
      </x:c>
      <x:c r="F148" s="20" t="n">
        <x:v>150</x:v>
      </x:c>
      <x:c r="G148" s="20" t="str">
        <x:v>NEG-C2</x:v>
      </x:c>
      <x:c r="H148" s="20" t="str">
        <x:v>SLD_DERIVED</x:v>
      </x:c>
      <x:c r="I148" s="40" t="n">
        <x:v>0.9</x:v>
      </x:c>
      <x:c r="J148" s="20" t="str">
        <x:v>DRAFT</x:v>
      </x:c>
      <x:c r="K148" s="20" t="str">
        <x:v>efeba486-e2fe-49cf-a5d0-5609a6bc93f4; 45baaf2d-6654-4277-8cb4-ef0b43823131</x:v>
      </x:c>
      <x:c r="L148" s="20" t="str">
        <x:v>Canonical local line bay for GILIMANUK–GI NEGARA circuit 2.</x:v>
      </x:c>
    </x:row>
    <x:row r="149">
      <x:c r="A149" s="20" t="str">
        <x:v>CN-GIL-NEG-C2-SELECT</x:v>
      </x:c>
      <x:c r="B149" s="20" t="str">
        <x:v>43e99736-e178-5325-98e8-f2765fc541f5</x:v>
      </x:c>
      <x:c r="C149" s="20" t="str">
        <x:v>ConnectivityNode</x:v>
      </x:c>
      <x:c r="D149" s="20" t="str">
        <x:v>NEG-C2 bus-selection node</x:v>
      </x:c>
      <x:c r="E149" s="20" t="str">
        <x:v>GI GILIMANUK</x:v>
      </x:c>
      <x:c r="F149" s="20" t="n">
        <x:v>150</x:v>
      </x:c>
      <x:c r="G149" s="20" t="str">
        <x:v>NEG-C2</x:v>
      </x:c>
      <x:c r="H149" s="20" t="str">
        <x:v>ASSUMED</x:v>
      </x:c>
      <x:c r="I149" s="40" t="n">
        <x:v>0.65</x:v>
      </x:c>
      <x:c r="J149" s="20" t="str">
        <x:v>DRAFT</x:v>
      </x:c>
      <x:c r="K149" s="20" t="str"/>
      <x:c r="L149" s="20" t="str">
        <x:v>Connectivity node NEG-C2 bus-selection node.</x:v>
      </x:c>
    </x:row>
    <x:row r="150">
      <x:c r="A150" s="20" t="str">
        <x:v>CN-GIL-NEG-C2-CB-LINE</x:v>
      </x:c>
      <x:c r="B150" s="20" t="str">
        <x:v>1dc82943-7fc5-50a9-8c92-2a5bfc600ede</x:v>
      </x:c>
      <x:c r="C150" s="20" t="str">
        <x:v>ConnectivityNode</x:v>
      </x:c>
      <x:c r="D150" s="20" t="str">
        <x:v>NEG-C2 breaker-line node</x:v>
      </x:c>
      <x:c r="E150" s="20" t="str">
        <x:v>GI GILIMANUK</x:v>
      </x:c>
      <x:c r="F150" s="20" t="n">
        <x:v>150</x:v>
      </x:c>
      <x:c r="G150" s="20" t="str">
        <x:v>NEG-C2</x:v>
      </x:c>
      <x:c r="H150" s="20" t="str">
        <x:v>ASSUMED</x:v>
      </x:c>
      <x:c r="I150" s="40" t="n">
        <x:v>0.65</x:v>
      </x:c>
      <x:c r="J150" s="20" t="str">
        <x:v>DRAFT</x:v>
      </x:c>
      <x:c r="K150" s="20" t="str"/>
      <x:c r="L150" s="20" t="str">
        <x:v>Connectivity node NEG-C2 breaker-line node.</x:v>
      </x:c>
    </x:row>
    <x:row r="151">
      <x:c r="A151" s="20" t="str">
        <x:v>CN-GIL-NEG-C2-LINE-END</x:v>
      </x:c>
      <x:c r="B151" s="20" t="str">
        <x:v>98d621a8-3cc0-597b-9910-f20522b1c50f</x:v>
      </x:c>
      <x:c r="C151" s="20" t="str">
        <x:v>ConnectivityNode</x:v>
      </x:c>
      <x:c r="D151" s="20" t="str">
        <x:v>NEG-C2 local line-end node</x:v>
      </x:c>
      <x:c r="E151" s="20" t="str">
        <x:v>GI GILIMANUK</x:v>
      </x:c>
      <x:c r="F151" s="20" t="n">
        <x:v>150</x:v>
      </x:c>
      <x:c r="G151" s="20" t="str">
        <x:v>NEG-C2</x:v>
      </x:c>
      <x:c r="H151" s="20" t="str">
        <x:v>SLD_DERIVED</x:v>
      </x:c>
      <x:c r="I151" s="40" t="n">
        <x:v>0.9</x:v>
      </x:c>
      <x:c r="J151" s="20" t="str">
        <x:v>DRAFT</x:v>
      </x:c>
      <x:c r="K151" s="20" t="str"/>
      <x:c r="L151" s="20" t="str">
        <x:v>Connectivity node NEG-C2 local line-end node.</x:v>
      </x:c>
    </x:row>
    <x:row r="152">
      <x:c r="A152" s="20" t="str">
        <x:v>CN-NEG-NEG-C2-BOUNDARY</x:v>
      </x:c>
      <x:c r="B152" s="20" t="str">
        <x:v>44aab5b5-bd7c-5e01-9aa0-5422fe2b4d9e</x:v>
      </x:c>
      <x:c r="C152" s="20" t="str">
        <x:v>ConnectivityNode</x:v>
      </x:c>
      <x:c r="D152" s="20" t="str">
        <x:v>GI NEGARA NEG-C2 boundary node</x:v>
      </x:c>
      <x:c r="E152" s="20" t="str">
        <x:v>GI NEGARA</x:v>
      </x:c>
      <x:c r="F152" s="20" t="n">
        <x:v>150</x:v>
      </x:c>
      <x:c r="G152" s="20" t="str">
        <x:v>NEG-C2</x:v>
      </x:c>
      <x:c r="H152" s="20" t="str">
        <x:v>SLD_DERIVED</x:v>
      </x:c>
      <x:c r="I152" s="40" t="n">
        <x:v>0.9</x:v>
      </x:c>
      <x:c r="J152" s="20" t="str">
        <x:v>DRAFT</x:v>
      </x:c>
      <x:c r="K152" s="20" t="str"/>
      <x:c r="L152" s="20" t="str">
        <x:v>Connectivity node GI NEGARA NEG-C2 boundary node.</x:v>
      </x:c>
    </x:row>
    <x:row r="153">
      <x:c r="A153" s="20" t="str">
        <x:v>GIL-150-NEG-C2-DS-A</x:v>
      </x:c>
      <x:c r="B153" s="20" t="str">
        <x:v>7cacaeb9-334f-58e1-9684-1889b8f6c08c</x:v>
      </x:c>
      <x:c r="C153" s="20" t="str">
        <x:v>Disconnector</x:v>
      </x:c>
      <x:c r="D153" s="20" t="str">
        <x:v>DS BUS A NEG-C2</x:v>
      </x:c>
      <x:c r="E153" s="20" t="str">
        <x:v>GI GILIMANUK</x:v>
      </x:c>
      <x:c r="F153" s="20" t="n">
        <x:v>150</x:v>
      </x:c>
      <x:c r="G153" s="20" t="str">
        <x:v>NEG-C2</x:v>
      </x:c>
      <x:c r="H153" s="20" t="str">
        <x:v>ASSUMED</x:v>
      </x:c>
      <x:c r="I153" s="40" t="n">
        <x:v>0.65</x:v>
      </x:c>
      <x:c r="J153" s="20" t="str">
        <x:v>DRAFT</x:v>
      </x:c>
      <x:c r="K153" s="20" t="str"/>
      <x:c r="L153" s="20" t="str">
        <x:v>Provisional bus-A selector disconnector generated from the standard double-bus single-breaker bay template.</x:v>
      </x:c>
    </x:row>
    <x:row r="154">
      <x:c r="A154" s="20" t="str">
        <x:v>DS::GIL::NEG-C2::BUS-A-T1</x:v>
      </x:c>
      <x:c r="B154" s="20" t="str">
        <x:v>d0f69d63-22c7-5dcc-841a-4a663f143208</x:v>
      </x:c>
      <x:c r="C154" s="20" t="str">
        <x:v>Terminal</x:v>
      </x:c>
      <x:c r="D154" s="20" t="str">
        <x:v>1</x:v>
      </x:c>
      <x:c r="E154" s="20" t="str"/>
      <x:c r="F154" s="20" t="str"/>
      <x:c r="G154" s="20" t="str"/>
      <x:c r="H154" s="20" t="str">
        <x:v>ASSUMED</x:v>
      </x:c>
      <x:c r="I154" s="40" t="n">
        <x:v>0.65</x:v>
      </x:c>
      <x:c r="J154" s="20" t="str">
        <x:v>DRAFT</x:v>
      </x:c>
      <x:c r="K154" s="20" t="str"/>
      <x:c r="L154" s="20" t="str">
        <x:v>Terminal 1 of DS BUS A NEG-C2</x:v>
      </x:c>
    </x:row>
    <x:row r="155">
      <x:c r="A155" s="20" t="str">
        <x:v>DS::GIL::NEG-C2::BUS-A-T2</x:v>
      </x:c>
      <x:c r="B155" s="20" t="str">
        <x:v>a01c57a8-fe28-58e4-b678-d93fb074d9de</x:v>
      </x:c>
      <x:c r="C155" s="20" t="str">
        <x:v>Terminal</x:v>
      </x:c>
      <x:c r="D155" s="20" t="str">
        <x:v>2</x:v>
      </x:c>
      <x:c r="E155" s="20" t="str"/>
      <x:c r="F155" s="20" t="str"/>
      <x:c r="G155" s="20" t="str"/>
      <x:c r="H155" s="20" t="str">
        <x:v>ASSUMED</x:v>
      </x:c>
      <x:c r="I155" s="40" t="n">
        <x:v>0.65</x:v>
      </x:c>
      <x:c r="J155" s="20" t="str">
        <x:v>DRAFT</x:v>
      </x:c>
      <x:c r="K155" s="20" t="str"/>
      <x:c r="L155" s="20" t="str">
        <x:v>Terminal 2 of DS BUS A NEG-C2</x:v>
      </x:c>
    </x:row>
    <x:row r="156">
      <x:c r="A156" s="20" t="str">
        <x:v>GIL-150-NEG-C2-DS-B</x:v>
      </x:c>
      <x:c r="B156" s="20" t="str">
        <x:v>f7452e44-1988-5237-bcf5-22a4d643adf4</x:v>
      </x:c>
      <x:c r="C156" s="20" t="str">
        <x:v>Disconnector</x:v>
      </x:c>
      <x:c r="D156" s="20" t="str">
        <x:v>DS BUS B NEG-C2</x:v>
      </x:c>
      <x:c r="E156" s="20" t="str">
        <x:v>GI GILIMANUK</x:v>
      </x:c>
      <x:c r="F156" s="20" t="n">
        <x:v>150</x:v>
      </x:c>
      <x:c r="G156" s="20" t="str">
        <x:v>NEG-C2</x:v>
      </x:c>
      <x:c r="H156" s="20" t="str">
        <x:v>ASSUMED</x:v>
      </x:c>
      <x:c r="I156" s="40" t="n">
        <x:v>0.65</x:v>
      </x:c>
      <x:c r="J156" s="20" t="str">
        <x:v>DRAFT</x:v>
      </x:c>
      <x:c r="K156" s="20" t="str"/>
      <x:c r="L156" s="20" t="str">
        <x:v>Provisional bus-B selector disconnector generated from the standard double-bus single-breaker bay template.</x:v>
      </x:c>
    </x:row>
    <x:row r="157">
      <x:c r="A157" s="20" t="str">
        <x:v>DS::GIL::NEG-C2::BUS-B-T1</x:v>
      </x:c>
      <x:c r="B157" s="20" t="str">
        <x:v>d8060dc0-2d8a-5218-b615-15f13bced574</x:v>
      </x:c>
      <x:c r="C157" s="20" t="str">
        <x:v>Terminal</x:v>
      </x:c>
      <x:c r="D157" s="20" t="str">
        <x:v>1</x:v>
      </x:c>
      <x:c r="E157" s="20" t="str"/>
      <x:c r="F157" s="20" t="str"/>
      <x:c r="G157" s="20" t="str"/>
      <x:c r="H157" s="20" t="str">
        <x:v>ASSUMED</x:v>
      </x:c>
      <x:c r="I157" s="40" t="n">
        <x:v>0.65</x:v>
      </x:c>
      <x:c r="J157" s="20" t="str">
        <x:v>DRAFT</x:v>
      </x:c>
      <x:c r="K157" s="20" t="str"/>
      <x:c r="L157" s="20" t="str">
        <x:v>Terminal 1 of DS BUS B NEG-C2</x:v>
      </x:c>
    </x:row>
    <x:row r="158">
      <x:c r="A158" s="20" t="str">
        <x:v>DS::GIL::NEG-C2::BUS-B-T2</x:v>
      </x:c>
      <x:c r="B158" s="20" t="str">
        <x:v>fd194493-afd3-52ff-8d08-f850bc47d8bd</x:v>
      </x:c>
      <x:c r="C158" s="20" t="str">
        <x:v>Terminal</x:v>
      </x:c>
      <x:c r="D158" s="20" t="str">
        <x:v>2</x:v>
      </x:c>
      <x:c r="E158" s="20" t="str"/>
      <x:c r="F158" s="20" t="str"/>
      <x:c r="G158" s="20" t="str"/>
      <x:c r="H158" s="20" t="str">
        <x:v>ASSUMED</x:v>
      </x:c>
      <x:c r="I158" s="40" t="n">
        <x:v>0.65</x:v>
      </x:c>
      <x:c r="J158" s="20" t="str">
        <x:v>DRAFT</x:v>
      </x:c>
      <x:c r="K158" s="20" t="str"/>
      <x:c r="L158" s="20" t="str">
        <x:v>Terminal 2 of DS BUS B NEG-C2</x:v>
      </x:c>
    </x:row>
    <x:row r="159">
      <x:c r="A159" s="20" t="str">
        <x:v>GIL-150-NEG-C2-CB</x:v>
      </x:c>
      <x:c r="B159" s="20" t="str">
        <x:v>c3af1b35-faf2-5f5f-b281-2eea81f17616</x:v>
      </x:c>
      <x:c r="C159" s="20" t="str">
        <x:v>Breaker</x:v>
      </x:c>
      <x:c r="D159" s="20" t="str">
        <x:v>CB NEG-C2</x:v>
      </x:c>
      <x:c r="E159" s="20" t="str">
        <x:v>GI GILIMANUK</x:v>
      </x:c>
      <x:c r="F159" s="20" t="n">
        <x:v>150</x:v>
      </x:c>
      <x:c r="G159" s="20" t="str">
        <x:v>NEG-C2</x:v>
      </x:c>
      <x:c r="H159" s="20" t="str">
        <x:v>ASSUMED</x:v>
      </x:c>
      <x:c r="I159" s="40" t="n">
        <x:v>0.7</x:v>
      </x:c>
      <x:c r="J159" s="20" t="str">
        <x:v>DRAFT</x:v>
      </x:c>
      <x:c r="K159" s="20" t="str"/>
      <x:c r="L159" s="20" t="str">
        <x:v>Provisional line circuit breaker generated from the SLD bay position.</x:v>
      </x:c>
    </x:row>
    <x:row r="160">
      <x:c r="A160" s="20" t="str">
        <x:v>CB::GIL::NEG-C2-T1</x:v>
      </x:c>
      <x:c r="B160" s="20" t="str">
        <x:v>95f22415-3f8f-54eb-b7f2-f70eed94710a</x:v>
      </x:c>
      <x:c r="C160" s="20" t="str">
        <x:v>Terminal</x:v>
      </x:c>
      <x:c r="D160" s="20" t="str">
        <x:v>1</x:v>
      </x:c>
      <x:c r="E160" s="20" t="str"/>
      <x:c r="F160" s="20" t="str"/>
      <x:c r="G160" s="20" t="str"/>
      <x:c r="H160" s="20" t="str">
        <x:v>ASSUMED</x:v>
      </x:c>
      <x:c r="I160" s="40" t="n">
        <x:v>0.7</x:v>
      </x:c>
      <x:c r="J160" s="20" t="str">
        <x:v>DRAFT</x:v>
      </x:c>
      <x:c r="K160" s="20" t="str"/>
      <x:c r="L160" s="20" t="str">
        <x:v>Terminal 1 of CB NEG-C2</x:v>
      </x:c>
    </x:row>
    <x:row r="161">
      <x:c r="A161" s="20" t="str">
        <x:v>CB::GIL::NEG-C2-T2</x:v>
      </x:c>
      <x:c r="B161" s="20" t="str">
        <x:v>a84bbf64-9151-5a10-b2e1-12b9b1b2e03c</x:v>
      </x:c>
      <x:c r="C161" s="20" t="str">
        <x:v>Terminal</x:v>
      </x:c>
      <x:c r="D161" s="20" t="str">
        <x:v>2</x:v>
      </x:c>
      <x:c r="E161" s="20" t="str"/>
      <x:c r="F161" s="20" t="str"/>
      <x:c r="G161" s="20" t="str"/>
      <x:c r="H161" s="20" t="str">
        <x:v>ASSUMED</x:v>
      </x:c>
      <x:c r="I161" s="40" t="n">
        <x:v>0.7</x:v>
      </x:c>
      <x:c r="J161" s="20" t="str">
        <x:v>DRAFT</x:v>
      </x:c>
      <x:c r="K161" s="20" t="str"/>
      <x:c r="L161" s="20" t="str">
        <x:v>Terminal 2 of CB NEG-C2</x:v>
      </x:c>
    </x:row>
    <x:row r="162">
      <x:c r="A162" s="20" t="str">
        <x:v>GIL-150-NEG-C2-DS-LINE</x:v>
      </x:c>
      <x:c r="B162" s="20" t="str">
        <x:v>e8b6013a-9fdb-56e2-80d2-55b129cad1af</x:v>
      </x:c>
      <x:c r="C162" s="20" t="str">
        <x:v>Disconnector</x:v>
      </x:c>
      <x:c r="D162" s="20" t="str">
        <x:v>DS LINE NEG-C2</x:v>
      </x:c>
      <x:c r="E162" s="20" t="str">
        <x:v>GI GILIMANUK</x:v>
      </x:c>
      <x:c r="F162" s="20" t="n">
        <x:v>150</x:v>
      </x:c>
      <x:c r="G162" s="20" t="str">
        <x:v>NEG-C2</x:v>
      </x:c>
      <x:c r="H162" s="20" t="str">
        <x:v>ASSUMED</x:v>
      </x:c>
      <x:c r="I162" s="40" t="n">
        <x:v>0.65</x:v>
      </x:c>
      <x:c r="J162" s="20" t="str">
        <x:v>DRAFT</x:v>
      </x:c>
      <x:c r="K162" s="20" t="str"/>
      <x:c r="L162" s="20" t="str">
        <x:v>Provisional line-side disconnector generated from the standard bay template.</x:v>
      </x:c>
    </x:row>
    <x:row r="163">
      <x:c r="A163" s="20" t="str">
        <x:v>DS::GIL::NEG-C2::LINE-T1</x:v>
      </x:c>
      <x:c r="B163" s="20" t="str">
        <x:v>0d3c5641-07eb-559e-a075-5b8e1c169f21</x:v>
      </x:c>
      <x:c r="C163" s="20" t="str">
        <x:v>Terminal</x:v>
      </x:c>
      <x:c r="D163" s="20" t="str">
        <x:v>1</x:v>
      </x:c>
      <x:c r="E163" s="20" t="str"/>
      <x:c r="F163" s="20" t="str"/>
      <x:c r="G163" s="20" t="str"/>
      <x:c r="H163" s="20" t="str">
        <x:v>ASSUMED</x:v>
      </x:c>
      <x:c r="I163" s="40" t="n">
        <x:v>0.65</x:v>
      </x:c>
      <x:c r="J163" s="20" t="str">
        <x:v>DRAFT</x:v>
      </x:c>
      <x:c r="K163" s="20" t="str"/>
      <x:c r="L163" s="20" t="str">
        <x:v>Terminal 1 of DS LINE NEG-C2</x:v>
      </x:c>
    </x:row>
    <x:row r="164">
      <x:c r="A164" s="20" t="str">
        <x:v>DS::GIL::NEG-C2::LINE-T2</x:v>
      </x:c>
      <x:c r="B164" s="20" t="str">
        <x:v>475f9b1f-56e2-5516-8341-2e0df7c471ec</x:v>
      </x:c>
      <x:c r="C164" s="20" t="str">
        <x:v>Terminal</x:v>
      </x:c>
      <x:c r="D164" s="20" t="str">
        <x:v>2</x:v>
      </x:c>
      <x:c r="E164" s="20" t="str"/>
      <x:c r="F164" s="20" t="str"/>
      <x:c r="G164" s="20" t="str"/>
      <x:c r="H164" s="20" t="str">
        <x:v>ASSUMED</x:v>
      </x:c>
      <x:c r="I164" s="40" t="n">
        <x:v>0.65</x:v>
      </x:c>
      <x:c r="J164" s="20" t="str">
        <x:v>DRAFT</x:v>
      </x:c>
      <x:c r="K164" s="20" t="str"/>
      <x:c r="L164" s="20" t="str">
        <x:v>Terminal 2 of DS LINE NEG-C2</x:v>
      </x:c>
    </x:row>
    <x:row r="165">
      <x:c r="A165" s="20" t="str">
        <x:v>LINE-GIL-NEG-C2</x:v>
      </x:c>
      <x:c r="B165" s="20" t="str">
        <x:v>9ecf5e5a-993c-5232-9bd1-401f83bdabc0</x:v>
      </x:c>
      <x:c r="C165" s="20" t="str">
        <x:v>Line</x:v>
      </x:c>
      <x:c r="D165" s="20" t="str">
        <x:v>LINE GILIMANUK–GI NEGARA NEG-C2</x:v>
      </x:c>
      <x:c r="E165" s="20" t="str"/>
      <x:c r="F165" s="20" t="str"/>
      <x:c r="G165" s="20" t="str"/>
      <x:c r="H165" s="20" t="str">
        <x:v>SLD_DERIVED</x:v>
      </x:c>
      <x:c r="I165" s="40" t="n">
        <x:v>0.9</x:v>
      </x:c>
      <x:c r="J165" s="20" t="str">
        <x:v>DRAFT</x:v>
      </x:c>
      <x:c r="K165" s="20" t="str"/>
      <x:c r="L165" s="20" t="str">
        <x:v>Canonical line container for circuit NEG-C2.</x:v>
      </x:c>
    </x:row>
    <x:row r="166">
      <x:c r="A166" s="20" t="str">
        <x:v>GIL-NEG-150-C2</x:v>
      </x:c>
      <x:c r="B166" s="20" t="str">
        <x:v>fc77afee-b730-54cd-bff2-a10772c6ede9</x:v>
      </x:c>
      <x:c r="C166" s="20" t="str">
        <x:v>ACLineSegment</x:v>
      </x:c>
      <x:c r="D166" s="20" t="str">
        <x:v>AC LINE NEG-C2</x:v>
      </x:c>
      <x:c r="E166" s="20" t="str">
        <x:v>INTER-GI</x:v>
      </x:c>
      <x:c r="F166" s="20" t="n">
        <x:v>150</x:v>
      </x:c>
      <x:c r="G166" s="20" t="str">
        <x:v>NEG-C2</x:v>
      </x:c>
      <x:c r="H166" s="20" t="str">
        <x:v>SLD_AND_SOURCE_RECONCILED</x:v>
      </x:c>
      <x:c r="I166" s="40" t="n">
        <x:v>0.9</x:v>
      </x:c>
      <x:c r="J166" s="20" t="str">
        <x:v>DRAFT</x:v>
      </x:c>
      <x:c r="K166" s="20" t="str">
        <x:v>efeba486-e2fe-49cf-a5d0-5609a6bc93f4; 45baaf2d-6654-4277-8cb4-ef0b43823131</x:v>
      </x:c>
      <x:c r="L166" s="20" t="str">
        <x:v>Canonical ACLineSegment GILIMANUK–GI NEGARA circuit 2.</x:v>
      </x:c>
    </x:row>
    <x:row r="167">
      <x:c r="A167" s="20" t="str">
        <x:v>ACLINE::NEG-C2-T1</x:v>
      </x:c>
      <x:c r="B167" s="20" t="str">
        <x:v>2ed85a74-e004-5491-99d7-430e70ae3fc8</x:v>
      </x:c>
      <x:c r="C167" s="20" t="str">
        <x:v>Terminal</x:v>
      </x:c>
      <x:c r="D167" s="20" t="str">
        <x:v>1</x:v>
      </x:c>
      <x:c r="E167" s="20" t="str"/>
      <x:c r="F167" s="20" t="str"/>
      <x:c r="G167" s="20" t="str"/>
      <x:c r="H167" s="20" t="str">
        <x:v>SLD_AND_SOURCE_RECONCILED</x:v>
      </x:c>
      <x:c r="I167" s="40" t="n">
        <x:v>0.9</x:v>
      </x:c>
      <x:c r="J167" s="20" t="str">
        <x:v>DRAFT</x:v>
      </x:c>
      <x:c r="K167" s="20" t="str"/>
      <x:c r="L167" s="20" t="str">
        <x:v>Terminal 1 of AC LINE NEG-C2</x:v>
      </x:c>
    </x:row>
    <x:row r="168">
      <x:c r="A168" s="20" t="str">
        <x:v>ACLINE::NEG-C2-T2</x:v>
      </x:c>
      <x:c r="B168" s="20" t="str">
        <x:v>e54df868-c6b6-58f9-864b-17c1194acb44</x:v>
      </x:c>
      <x:c r="C168" s="20" t="str">
        <x:v>Terminal</x:v>
      </x:c>
      <x:c r="D168" s="20" t="str">
        <x:v>2</x:v>
      </x:c>
      <x:c r="E168" s="20" t="str"/>
      <x:c r="F168" s="20" t="str"/>
      <x:c r="G168" s="20" t="str"/>
      <x:c r="H168" s="20" t="str">
        <x:v>SLD_AND_SOURCE_RECONCILED</x:v>
      </x:c>
      <x:c r="I168" s="40" t="n">
        <x:v>0.9</x:v>
      </x:c>
      <x:c r="J168" s="20" t="str">
        <x:v>DRAFT</x:v>
      </x:c>
      <x:c r="K168" s="20" t="str"/>
      <x:c r="L168" s="20" t="str">
        <x:v>Terminal 2 of AC LINE NEG-C2</x:v>
      </x:c>
    </x:row>
    <x:row r="169">
      <x:c r="A169" s="20" t="str">
        <x:v>GIL-150-BAY-CLB-C1</x:v>
      </x:c>
      <x:c r="B169" s="20" t="str">
        <x:v>015a5505-d552-51a5-8901-d1755ccfd16d</x:v>
      </x:c>
      <x:c r="C169" s="20" t="str">
        <x:v>Bay</x:v>
      </x:c>
      <x:c r="D169" s="20" t="str">
        <x:v>LINE BAY CLB-C1 GILIMANUK</x:v>
      </x:c>
      <x:c r="E169" s="20" t="str">
        <x:v>GI GILIMANUK</x:v>
      </x:c>
      <x:c r="F169" s="20" t="n">
        <x:v>150</x:v>
      </x:c>
      <x:c r="G169" s="20" t="str">
        <x:v>CLB-C1</x:v>
      </x:c>
      <x:c r="H169" s="20" t="str">
        <x:v>SLD_DERIVED</x:v>
      </x:c>
      <x:c r="I169" s="40" t="n">
        <x:v>0.55</x:v>
      </x:c>
      <x:c r="J169" s="20" t="str">
        <x:v>DRAFT</x:v>
      </x:c>
      <x:c r="K169" s="20" t="str">
        <x:v>acc427b0-422c-4bd2-8c12-ae982fcaea56; 5d3856ec-7e27-4314-95ce-3b59e85e8279</x:v>
      </x:c>
      <x:c r="L169" s="20" t="str">
        <x:v>Canonical local line bay for GILIMANUK–GIS CELUKAN BAWANG circuit 1.</x:v>
      </x:c>
    </x:row>
    <x:row r="170">
      <x:c r="A170" s="20" t="str">
        <x:v>CN-GIL-CLB-C1-SELECT</x:v>
      </x:c>
      <x:c r="B170" s="20" t="str">
        <x:v>fa4466b2-438b-5d0a-8200-11fde5652db7</x:v>
      </x:c>
      <x:c r="C170" s="20" t="str">
        <x:v>ConnectivityNode</x:v>
      </x:c>
      <x:c r="D170" s="20" t="str">
        <x:v>CLB-C1 bus-selection node</x:v>
      </x:c>
      <x:c r="E170" s="20" t="str">
        <x:v>GI GILIMANUK</x:v>
      </x:c>
      <x:c r="F170" s="20" t="n">
        <x:v>150</x:v>
      </x:c>
      <x:c r="G170" s="20" t="str">
        <x:v>CLB-C1</x:v>
      </x:c>
      <x:c r="H170" s="20" t="str">
        <x:v>ASSUMED</x:v>
      </x:c>
      <x:c r="I170" s="40" t="n">
        <x:v>0.65</x:v>
      </x:c>
      <x:c r="J170" s="20" t="str">
        <x:v>DRAFT</x:v>
      </x:c>
      <x:c r="K170" s="20" t="str"/>
      <x:c r="L170" s="20" t="str">
        <x:v>Connectivity node CLB-C1 bus-selection node.</x:v>
      </x:c>
    </x:row>
    <x:row r="171">
      <x:c r="A171" s="20" t="str">
        <x:v>CN-GIL-CLB-C1-CB-LINE</x:v>
      </x:c>
      <x:c r="B171" s="20" t="str">
        <x:v>250ec5fb-7282-5f2f-a4be-bb0f85258f19</x:v>
      </x:c>
      <x:c r="C171" s="20" t="str">
        <x:v>ConnectivityNode</x:v>
      </x:c>
      <x:c r="D171" s="20" t="str">
        <x:v>CLB-C1 breaker-line node</x:v>
      </x:c>
      <x:c r="E171" s="20" t="str">
        <x:v>GI GILIMANUK</x:v>
      </x:c>
      <x:c r="F171" s="20" t="n">
        <x:v>150</x:v>
      </x:c>
      <x:c r="G171" s="20" t="str">
        <x:v>CLB-C1</x:v>
      </x:c>
      <x:c r="H171" s="20" t="str">
        <x:v>ASSUMED</x:v>
      </x:c>
      <x:c r="I171" s="40" t="n">
        <x:v>0.65</x:v>
      </x:c>
      <x:c r="J171" s="20" t="str">
        <x:v>DRAFT</x:v>
      </x:c>
      <x:c r="K171" s="20" t="str"/>
      <x:c r="L171" s="20" t="str">
        <x:v>Connectivity node CLB-C1 breaker-line node.</x:v>
      </x:c>
    </x:row>
    <x:row r="172">
      <x:c r="A172" s="20" t="str">
        <x:v>CN-GIL-CLB-C1-LINE-END</x:v>
      </x:c>
      <x:c r="B172" s="20" t="str">
        <x:v>bbfabd4c-f55d-51b8-93db-69fb8df2d5b8</x:v>
      </x:c>
      <x:c r="C172" s="20" t="str">
        <x:v>ConnectivityNode</x:v>
      </x:c>
      <x:c r="D172" s="20" t="str">
        <x:v>CLB-C1 local line-end node</x:v>
      </x:c>
      <x:c r="E172" s="20" t="str">
        <x:v>GI GILIMANUK</x:v>
      </x:c>
      <x:c r="F172" s="20" t="n">
        <x:v>150</x:v>
      </x:c>
      <x:c r="G172" s="20" t="str">
        <x:v>CLB-C1</x:v>
      </x:c>
      <x:c r="H172" s="20" t="str">
        <x:v>SLD_DERIVED</x:v>
      </x:c>
      <x:c r="I172" s="40" t="n">
        <x:v>0.55</x:v>
      </x:c>
      <x:c r="J172" s="20" t="str">
        <x:v>DRAFT</x:v>
      </x:c>
      <x:c r="K172" s="20" t="str"/>
      <x:c r="L172" s="20" t="str">
        <x:v>Connectivity node CLB-C1 local line-end node.</x:v>
      </x:c>
    </x:row>
    <x:row r="173">
      <x:c r="A173" s="20" t="str">
        <x:v>CN-CLB-CLB-C1-BOUNDARY</x:v>
      </x:c>
      <x:c r="B173" s="20" t="str">
        <x:v>a5b3a580-1c54-5266-99d8-ce7a5408e88c</x:v>
      </x:c>
      <x:c r="C173" s="20" t="str">
        <x:v>ConnectivityNode</x:v>
      </x:c>
      <x:c r="D173" s="20" t="str">
        <x:v>GIS CELUKAN BAWANG CLB-C1 boundary node</x:v>
      </x:c>
      <x:c r="E173" s="20" t="str">
        <x:v>GIS CELUKAN BAWANG</x:v>
      </x:c>
      <x:c r="F173" s="20" t="n">
        <x:v>150</x:v>
      </x:c>
      <x:c r="G173" s="20" t="str">
        <x:v>CLB-C1</x:v>
      </x:c>
      <x:c r="H173" s="20" t="str">
        <x:v>SLD_DERIVED</x:v>
      </x:c>
      <x:c r="I173" s="40" t="n">
        <x:v>0.55</x:v>
      </x:c>
      <x:c r="J173" s="20" t="str">
        <x:v>DRAFT</x:v>
      </x:c>
      <x:c r="K173" s="20" t="str"/>
      <x:c r="L173" s="20" t="str">
        <x:v>Connectivity node GIS CELUKAN BAWANG CLB-C1 boundary node.</x:v>
      </x:c>
    </x:row>
    <x:row r="174">
      <x:c r="A174" s="20" t="str">
        <x:v>GIL-150-CLB-C1-DS-A</x:v>
      </x:c>
      <x:c r="B174" s="20" t="str">
        <x:v>4fdcddef-8238-5eaf-bd30-353c87c0b693</x:v>
      </x:c>
      <x:c r="C174" s="20" t="str">
        <x:v>Disconnector</x:v>
      </x:c>
      <x:c r="D174" s="20" t="str">
        <x:v>DS BUS A CLB-C1</x:v>
      </x:c>
      <x:c r="E174" s="20" t="str">
        <x:v>GI GILIMANUK</x:v>
      </x:c>
      <x:c r="F174" s="20" t="n">
        <x:v>150</x:v>
      </x:c>
      <x:c r="G174" s="20" t="str">
        <x:v>CLB-C1</x:v>
      </x:c>
      <x:c r="H174" s="20" t="str">
        <x:v>ASSUMED</x:v>
      </x:c>
      <x:c r="I174" s="40" t="n">
        <x:v>0.65</x:v>
      </x:c>
      <x:c r="J174" s="20" t="str">
        <x:v>DRAFT</x:v>
      </x:c>
      <x:c r="K174" s="20" t="str"/>
      <x:c r="L174" s="20" t="str">
        <x:v>Provisional bus-A selector disconnector generated from the standard double-bus single-breaker bay template.</x:v>
      </x:c>
    </x:row>
    <x:row r="175">
      <x:c r="A175" s="20" t="str">
        <x:v>DS::GIL::CLB-C1::BUS-A-T1</x:v>
      </x:c>
      <x:c r="B175" s="20" t="str">
        <x:v>7b642df3-ee0c-5dc0-8194-4148a93450a3</x:v>
      </x:c>
      <x:c r="C175" s="20" t="str">
        <x:v>Terminal</x:v>
      </x:c>
      <x:c r="D175" s="20" t="str">
        <x:v>1</x:v>
      </x:c>
      <x:c r="E175" s="20" t="str"/>
      <x:c r="F175" s="20" t="str"/>
      <x:c r="G175" s="20" t="str"/>
      <x:c r="H175" s="20" t="str">
        <x:v>ASSUMED</x:v>
      </x:c>
      <x:c r="I175" s="40" t="n">
        <x:v>0.65</x:v>
      </x:c>
      <x:c r="J175" s="20" t="str">
        <x:v>DRAFT</x:v>
      </x:c>
      <x:c r="K175" s="20" t="str"/>
      <x:c r="L175" s="20" t="str">
        <x:v>Terminal 1 of DS BUS A CLB-C1</x:v>
      </x:c>
    </x:row>
    <x:row r="176">
      <x:c r="A176" s="20" t="str">
        <x:v>DS::GIL::CLB-C1::BUS-A-T2</x:v>
      </x:c>
      <x:c r="B176" s="20" t="str">
        <x:v>8929b289-03b0-591f-ba30-d323ce5c973b</x:v>
      </x:c>
      <x:c r="C176" s="20" t="str">
        <x:v>Terminal</x:v>
      </x:c>
      <x:c r="D176" s="20" t="str">
        <x:v>2</x:v>
      </x:c>
      <x:c r="E176" s="20" t="str"/>
      <x:c r="F176" s="20" t="str"/>
      <x:c r="G176" s="20" t="str"/>
      <x:c r="H176" s="20" t="str">
        <x:v>ASSUMED</x:v>
      </x:c>
      <x:c r="I176" s="40" t="n">
        <x:v>0.65</x:v>
      </x:c>
      <x:c r="J176" s="20" t="str">
        <x:v>DRAFT</x:v>
      </x:c>
      <x:c r="K176" s="20" t="str"/>
      <x:c r="L176" s="20" t="str">
        <x:v>Terminal 2 of DS BUS A CLB-C1</x:v>
      </x:c>
    </x:row>
    <x:row r="177">
      <x:c r="A177" s="20" t="str">
        <x:v>GIL-150-CLB-C1-DS-B</x:v>
      </x:c>
      <x:c r="B177" s="20" t="str">
        <x:v>50ec4b03-5905-5c75-bd1f-798dc1c6171e</x:v>
      </x:c>
      <x:c r="C177" s="20" t="str">
        <x:v>Disconnector</x:v>
      </x:c>
      <x:c r="D177" s="20" t="str">
        <x:v>DS BUS B CLB-C1</x:v>
      </x:c>
      <x:c r="E177" s="20" t="str">
        <x:v>GI GILIMANUK</x:v>
      </x:c>
      <x:c r="F177" s="20" t="n">
        <x:v>150</x:v>
      </x:c>
      <x:c r="G177" s="20" t="str">
        <x:v>CLB-C1</x:v>
      </x:c>
      <x:c r="H177" s="20" t="str">
        <x:v>ASSUMED</x:v>
      </x:c>
      <x:c r="I177" s="40" t="n">
        <x:v>0.65</x:v>
      </x:c>
      <x:c r="J177" s="20" t="str">
        <x:v>DRAFT</x:v>
      </x:c>
      <x:c r="K177" s="20" t="str"/>
      <x:c r="L177" s="20" t="str">
        <x:v>Provisional bus-B selector disconnector generated from the standard double-bus single-breaker bay template.</x:v>
      </x:c>
    </x:row>
    <x:row r="178">
      <x:c r="A178" s="20" t="str">
        <x:v>DS::GIL::CLB-C1::BUS-B-T1</x:v>
      </x:c>
      <x:c r="B178" s="20" t="str">
        <x:v>68671cba-e14f-546b-abc8-77ee936f089f</x:v>
      </x:c>
      <x:c r="C178" s="20" t="str">
        <x:v>Terminal</x:v>
      </x:c>
      <x:c r="D178" s="20" t="str">
        <x:v>1</x:v>
      </x:c>
      <x:c r="E178" s="20" t="str"/>
      <x:c r="F178" s="20" t="str"/>
      <x:c r="G178" s="20" t="str"/>
      <x:c r="H178" s="20" t="str">
        <x:v>ASSUMED</x:v>
      </x:c>
      <x:c r="I178" s="40" t="n">
        <x:v>0.65</x:v>
      </x:c>
      <x:c r="J178" s="20" t="str">
        <x:v>DRAFT</x:v>
      </x:c>
      <x:c r="K178" s="20" t="str"/>
      <x:c r="L178" s="20" t="str">
        <x:v>Terminal 1 of DS BUS B CLB-C1</x:v>
      </x:c>
    </x:row>
    <x:row r="179">
      <x:c r="A179" s="20" t="str">
        <x:v>DS::GIL::CLB-C1::BUS-B-T2</x:v>
      </x:c>
      <x:c r="B179" s="20" t="str">
        <x:v>6ffea611-497e-5dcb-913d-773e9bbbfe4c</x:v>
      </x:c>
      <x:c r="C179" s="20" t="str">
        <x:v>Terminal</x:v>
      </x:c>
      <x:c r="D179" s="20" t="str">
        <x:v>2</x:v>
      </x:c>
      <x:c r="E179" s="20" t="str"/>
      <x:c r="F179" s="20" t="str"/>
      <x:c r="G179" s="20" t="str"/>
      <x:c r="H179" s="20" t="str">
        <x:v>ASSUMED</x:v>
      </x:c>
      <x:c r="I179" s="40" t="n">
        <x:v>0.65</x:v>
      </x:c>
      <x:c r="J179" s="20" t="str">
        <x:v>DRAFT</x:v>
      </x:c>
      <x:c r="K179" s="20" t="str"/>
      <x:c r="L179" s="20" t="str">
        <x:v>Terminal 2 of DS BUS B CLB-C1</x:v>
      </x:c>
    </x:row>
    <x:row r="180">
      <x:c r="A180" s="20" t="str">
        <x:v>GIL-150-CLB-C1-CB</x:v>
      </x:c>
      <x:c r="B180" s="20" t="str">
        <x:v>a5a30631-d93d-5bb5-b755-8139bc7b08d1</x:v>
      </x:c>
      <x:c r="C180" s="20" t="str">
        <x:v>Breaker</x:v>
      </x:c>
      <x:c r="D180" s="20" t="str">
        <x:v>CB CLB-C1</x:v>
      </x:c>
      <x:c r="E180" s="20" t="str">
        <x:v>GI GILIMANUK</x:v>
      </x:c>
      <x:c r="F180" s="20" t="n">
        <x:v>150</x:v>
      </x:c>
      <x:c r="G180" s="20" t="str">
        <x:v>CLB-C1</x:v>
      </x:c>
      <x:c r="H180" s="20" t="str">
        <x:v>ASSUMED</x:v>
      </x:c>
      <x:c r="I180" s="40" t="n">
        <x:v>0.7</x:v>
      </x:c>
      <x:c r="J180" s="20" t="str">
        <x:v>DRAFT</x:v>
      </x:c>
      <x:c r="K180" s="20" t="str"/>
      <x:c r="L180" s="20" t="str">
        <x:v>Provisional line circuit breaker generated from the SLD bay position.</x:v>
      </x:c>
    </x:row>
    <x:row r="181">
      <x:c r="A181" s="20" t="str">
        <x:v>CB::GIL::CLB-C1-T1</x:v>
      </x:c>
      <x:c r="B181" s="20" t="str">
        <x:v>5bfd5165-a22e-5072-b025-5a31f03e305c</x:v>
      </x:c>
      <x:c r="C181" s="20" t="str">
        <x:v>Terminal</x:v>
      </x:c>
      <x:c r="D181" s="20" t="str">
        <x:v>1</x:v>
      </x:c>
      <x:c r="E181" s="20" t="str"/>
      <x:c r="F181" s="20" t="str"/>
      <x:c r="G181" s="20" t="str"/>
      <x:c r="H181" s="20" t="str">
        <x:v>ASSUMED</x:v>
      </x:c>
      <x:c r="I181" s="40" t="n">
        <x:v>0.7</x:v>
      </x:c>
      <x:c r="J181" s="20" t="str">
        <x:v>DRAFT</x:v>
      </x:c>
      <x:c r="K181" s="20" t="str"/>
      <x:c r="L181" s="20" t="str">
        <x:v>Terminal 1 of CB CLB-C1</x:v>
      </x:c>
    </x:row>
    <x:row r="182">
      <x:c r="A182" s="20" t="str">
        <x:v>CB::GIL::CLB-C1-T2</x:v>
      </x:c>
      <x:c r="B182" s="20" t="str">
        <x:v>83d9bc8a-66d4-557d-b7d9-1a8ec97cfa66</x:v>
      </x:c>
      <x:c r="C182" s="20" t="str">
        <x:v>Terminal</x:v>
      </x:c>
      <x:c r="D182" s="20" t="str">
        <x:v>2</x:v>
      </x:c>
      <x:c r="E182" s="20" t="str"/>
      <x:c r="F182" s="20" t="str"/>
      <x:c r="G182" s="20" t="str"/>
      <x:c r="H182" s="20" t="str">
        <x:v>ASSUMED</x:v>
      </x:c>
      <x:c r="I182" s="40" t="n">
        <x:v>0.7</x:v>
      </x:c>
      <x:c r="J182" s="20" t="str">
        <x:v>DRAFT</x:v>
      </x:c>
      <x:c r="K182" s="20" t="str"/>
      <x:c r="L182" s="20" t="str">
        <x:v>Terminal 2 of CB CLB-C1</x:v>
      </x:c>
    </x:row>
    <x:row r="183">
      <x:c r="A183" s="20" t="str">
        <x:v>GIL-150-CLB-C1-DS-LINE</x:v>
      </x:c>
      <x:c r="B183" s="20" t="str">
        <x:v>bc804bb8-c8b5-5fee-ae82-311fccb5597c</x:v>
      </x:c>
      <x:c r="C183" s="20" t="str">
        <x:v>Disconnector</x:v>
      </x:c>
      <x:c r="D183" s="20" t="str">
        <x:v>DS LINE CLB-C1</x:v>
      </x:c>
      <x:c r="E183" s="20" t="str">
        <x:v>GI GILIMANUK</x:v>
      </x:c>
      <x:c r="F183" s="20" t="n">
        <x:v>150</x:v>
      </x:c>
      <x:c r="G183" s="20" t="str">
        <x:v>CLB-C1</x:v>
      </x:c>
      <x:c r="H183" s="20" t="str">
        <x:v>ASSUMED</x:v>
      </x:c>
      <x:c r="I183" s="40" t="n">
        <x:v>0.65</x:v>
      </x:c>
      <x:c r="J183" s="20" t="str">
        <x:v>DRAFT</x:v>
      </x:c>
      <x:c r="K183" s="20" t="str"/>
      <x:c r="L183" s="20" t="str">
        <x:v>Provisional line-side disconnector generated from the standard bay template.</x:v>
      </x:c>
    </x:row>
    <x:row r="184">
      <x:c r="A184" s="20" t="str">
        <x:v>DS::GIL::CLB-C1::LINE-T1</x:v>
      </x:c>
      <x:c r="B184" s="20" t="str">
        <x:v>508ea55a-6ad7-5ae8-b68a-8e56888ec208</x:v>
      </x:c>
      <x:c r="C184" s="20" t="str">
        <x:v>Terminal</x:v>
      </x:c>
      <x:c r="D184" s="20" t="str">
        <x:v>1</x:v>
      </x:c>
      <x:c r="E184" s="20" t="str"/>
      <x:c r="F184" s="20" t="str"/>
      <x:c r="G184" s="20" t="str"/>
      <x:c r="H184" s="20" t="str">
        <x:v>ASSUMED</x:v>
      </x:c>
      <x:c r="I184" s="40" t="n">
        <x:v>0.65</x:v>
      </x:c>
      <x:c r="J184" s="20" t="str">
        <x:v>DRAFT</x:v>
      </x:c>
      <x:c r="K184" s="20" t="str"/>
      <x:c r="L184" s="20" t="str">
        <x:v>Terminal 1 of DS LINE CLB-C1</x:v>
      </x:c>
    </x:row>
    <x:row r="185">
      <x:c r="A185" s="20" t="str">
        <x:v>DS::GIL::CLB-C1::LINE-T2</x:v>
      </x:c>
      <x:c r="B185" s="20" t="str">
        <x:v>97a7e521-3c3b-52c2-8fed-3668057ccb37</x:v>
      </x:c>
      <x:c r="C185" s="20" t="str">
        <x:v>Terminal</x:v>
      </x:c>
      <x:c r="D185" s="20" t="str">
        <x:v>2</x:v>
      </x:c>
      <x:c r="E185" s="20" t="str"/>
      <x:c r="F185" s="20" t="str"/>
      <x:c r="G185" s="20" t="str"/>
      <x:c r="H185" s="20" t="str">
        <x:v>ASSUMED</x:v>
      </x:c>
      <x:c r="I185" s="40" t="n">
        <x:v>0.65</x:v>
      </x:c>
      <x:c r="J185" s="20" t="str">
        <x:v>DRAFT</x:v>
      </x:c>
      <x:c r="K185" s="20" t="str"/>
      <x:c r="L185" s="20" t="str">
        <x:v>Terminal 2 of DS LINE CLB-C1</x:v>
      </x:c>
    </x:row>
    <x:row r="186">
      <x:c r="A186" s="20" t="str">
        <x:v>LINE-GIL-CLB-C1</x:v>
      </x:c>
      <x:c r="B186" s="20" t="str">
        <x:v>753d19c9-1fef-56be-9c02-6e345b455e12</x:v>
      </x:c>
      <x:c r="C186" s="20" t="str">
        <x:v>Line</x:v>
      </x:c>
      <x:c r="D186" s="20" t="str">
        <x:v>LINE GILIMANUK–GIS CELUKAN BAWANG CLB-C1</x:v>
      </x:c>
      <x:c r="E186" s="20" t="str"/>
      <x:c r="F186" s="20" t="str"/>
      <x:c r="G186" s="20" t="str"/>
      <x:c r="H186" s="20" t="str">
        <x:v>SLD_DERIVED</x:v>
      </x:c>
      <x:c r="I186" s="40" t="n">
        <x:v>0.55</x:v>
      </x:c>
      <x:c r="J186" s="20" t="str">
        <x:v>DRAFT</x:v>
      </x:c>
      <x:c r="K186" s="20" t="str"/>
      <x:c r="L186" s="20" t="str">
        <x:v>Canonical line container for circuit CLB-C1.</x:v>
      </x:c>
    </x:row>
    <x:row r="187">
      <x:c r="A187" s="20" t="str">
        <x:v>GIL-CLB-150-C1</x:v>
      </x:c>
      <x:c r="B187" s="20" t="str">
        <x:v>5929f76d-45af-57b8-8fc8-204a8a6cd052</x:v>
      </x:c>
      <x:c r="C187" s="20" t="str">
        <x:v>ACLineSegment</x:v>
      </x:c>
      <x:c r="D187" s="20" t="str">
        <x:v>AC LINE CLB-C1</x:v>
      </x:c>
      <x:c r="E187" s="20" t="str">
        <x:v>INTER-GI</x:v>
      </x:c>
      <x:c r="F187" s="20" t="n">
        <x:v>150</x:v>
      </x:c>
      <x:c r="G187" s="20" t="str">
        <x:v>CLB-C1</x:v>
      </x:c>
      <x:c r="H187" s="20" t="str">
        <x:v>SLD_AND_SOURCE_RECONCILED</x:v>
      </x:c>
      <x:c r="I187" s="40" t="n">
        <x:v>0.55</x:v>
      </x:c>
      <x:c r="J187" s="20" t="str">
        <x:v>DRAFT</x:v>
      </x:c>
      <x:c r="K187" s="20" t="str">
        <x:v>acc427b0-422c-4bd2-8c12-ae982fcaea56; 5d3856ec-7e27-4314-95ce-3b59e85e8279</x:v>
      </x:c>
      <x:c r="L187" s="20" t="str">
        <x:v>Canonical ACLineSegment GILIMANUK–GIS CELUKAN BAWANG circuit 1.</x:v>
      </x:c>
    </x:row>
    <x:row r="188">
      <x:c r="A188" s="20" t="str">
        <x:v>ACLINE::CLB-C1-T1</x:v>
      </x:c>
      <x:c r="B188" s="20" t="str">
        <x:v>28ffb9aa-accd-5e91-9454-b1e04acb0e9f</x:v>
      </x:c>
      <x:c r="C188" s="20" t="str">
        <x:v>Terminal</x:v>
      </x:c>
      <x:c r="D188" s="20" t="str">
        <x:v>1</x:v>
      </x:c>
      <x:c r="E188" s="20" t="str"/>
      <x:c r="F188" s="20" t="str"/>
      <x:c r="G188" s="20" t="str"/>
      <x:c r="H188" s="20" t="str">
        <x:v>SLD_AND_SOURCE_RECONCILED</x:v>
      </x:c>
      <x:c r="I188" s="40" t="n">
        <x:v>0.55</x:v>
      </x:c>
      <x:c r="J188" s="20" t="str">
        <x:v>DRAFT</x:v>
      </x:c>
      <x:c r="K188" s="20" t="str"/>
      <x:c r="L188" s="20" t="str">
        <x:v>Terminal 1 of AC LINE CLB-C1</x:v>
      </x:c>
    </x:row>
    <x:row r="189">
      <x:c r="A189" s="20" t="str">
        <x:v>ACLINE::CLB-C1-T2</x:v>
      </x:c>
      <x:c r="B189" s="20" t="str">
        <x:v>fe229809-3325-591e-aecb-d6a22a482e57</x:v>
      </x:c>
      <x:c r="C189" s="20" t="str">
        <x:v>Terminal</x:v>
      </x:c>
      <x:c r="D189" s="20" t="str">
        <x:v>2</x:v>
      </x:c>
      <x:c r="E189" s="20" t="str"/>
      <x:c r="F189" s="20" t="str"/>
      <x:c r="G189" s="20" t="str"/>
      <x:c r="H189" s="20" t="str">
        <x:v>SLD_AND_SOURCE_RECONCILED</x:v>
      </x:c>
      <x:c r="I189" s="40" t="n">
        <x:v>0.55</x:v>
      </x:c>
      <x:c r="J189" s="20" t="str">
        <x:v>DRAFT</x:v>
      </x:c>
      <x:c r="K189" s="20" t="str"/>
      <x:c r="L189" s="20" t="str">
        <x:v>Terminal 2 of AC LINE CLB-C1</x:v>
      </x:c>
    </x:row>
    <x:row r="190">
      <x:c r="A190" s="20" t="str">
        <x:v>GIL-150-BAY-CLB-C2</x:v>
      </x:c>
      <x:c r="B190" s="20" t="str">
        <x:v>02543ca8-f0cf-5e6b-ab49-e573b7d728aa</x:v>
      </x:c>
      <x:c r="C190" s="20" t="str">
        <x:v>Bay</x:v>
      </x:c>
      <x:c r="D190" s="20" t="str">
        <x:v>LINE BAY CLB-C2 GILIMANUK</x:v>
      </x:c>
      <x:c r="E190" s="20" t="str">
        <x:v>GI GILIMANUK</x:v>
      </x:c>
      <x:c r="F190" s="20" t="n">
        <x:v>150</x:v>
      </x:c>
      <x:c r="G190" s="20" t="str">
        <x:v>CLB-C2</x:v>
      </x:c>
      <x:c r="H190" s="20" t="str">
        <x:v>SLD_DERIVED</x:v>
      </x:c>
      <x:c r="I190" s="40" t="n">
        <x:v>0.55</x:v>
      </x:c>
      <x:c r="J190" s="20" t="str">
        <x:v>DRAFT</x:v>
      </x:c>
      <x:c r="K190" s="20" t="str">
        <x:v>86e3270f-06a3-4b15-aac0-29f9e2666d50</x:v>
      </x:c>
      <x:c r="L190" s="20" t="str">
        <x:v>Canonical local line bay for GILIMANUK–GIS CELUKAN BAWANG circuit 2.</x:v>
      </x:c>
    </x:row>
    <x:row r="191">
      <x:c r="A191" s="20" t="str">
        <x:v>CN-GIL-CLB-C2-SELECT</x:v>
      </x:c>
      <x:c r="B191" s="20" t="str">
        <x:v>7d7c9c29-1e10-5fb5-8fb1-6b1e8b258397</x:v>
      </x:c>
      <x:c r="C191" s="20" t="str">
        <x:v>ConnectivityNode</x:v>
      </x:c>
      <x:c r="D191" s="20" t="str">
        <x:v>CLB-C2 bus-selection node</x:v>
      </x:c>
      <x:c r="E191" s="20" t="str">
        <x:v>GI GILIMANUK</x:v>
      </x:c>
      <x:c r="F191" s="20" t="n">
        <x:v>150</x:v>
      </x:c>
      <x:c r="G191" s="20" t="str">
        <x:v>CLB-C2</x:v>
      </x:c>
      <x:c r="H191" s="20" t="str">
        <x:v>ASSUMED</x:v>
      </x:c>
      <x:c r="I191" s="40" t="n">
        <x:v>0.65</x:v>
      </x:c>
      <x:c r="J191" s="20" t="str">
        <x:v>DRAFT</x:v>
      </x:c>
      <x:c r="K191" s="20" t="str"/>
      <x:c r="L191" s="20" t="str">
        <x:v>Connectivity node CLB-C2 bus-selection node.</x:v>
      </x:c>
    </x:row>
    <x:row r="192">
      <x:c r="A192" s="20" t="str">
        <x:v>CN-GIL-CLB-C2-CB-LINE</x:v>
      </x:c>
      <x:c r="B192" s="20" t="str">
        <x:v>33c9d5a6-8f21-567d-9af0-9e274f795134</x:v>
      </x:c>
      <x:c r="C192" s="20" t="str">
        <x:v>ConnectivityNode</x:v>
      </x:c>
      <x:c r="D192" s="20" t="str">
        <x:v>CLB-C2 breaker-line node</x:v>
      </x:c>
      <x:c r="E192" s="20" t="str">
        <x:v>GI GILIMANUK</x:v>
      </x:c>
      <x:c r="F192" s="20" t="n">
        <x:v>150</x:v>
      </x:c>
      <x:c r="G192" s="20" t="str">
        <x:v>CLB-C2</x:v>
      </x:c>
      <x:c r="H192" s="20" t="str">
        <x:v>ASSUMED</x:v>
      </x:c>
      <x:c r="I192" s="40" t="n">
        <x:v>0.65</x:v>
      </x:c>
      <x:c r="J192" s="20" t="str">
        <x:v>DRAFT</x:v>
      </x:c>
      <x:c r="K192" s="20" t="str"/>
      <x:c r="L192" s="20" t="str">
        <x:v>Connectivity node CLB-C2 breaker-line node.</x:v>
      </x:c>
    </x:row>
    <x:row r="193">
      <x:c r="A193" s="20" t="str">
        <x:v>CN-GIL-CLB-C2-LINE-END</x:v>
      </x:c>
      <x:c r="B193" s="20" t="str">
        <x:v>d24c1a99-957a-5642-9bcd-9fb685f5daad</x:v>
      </x:c>
      <x:c r="C193" s="20" t="str">
        <x:v>ConnectivityNode</x:v>
      </x:c>
      <x:c r="D193" s="20" t="str">
        <x:v>CLB-C2 local line-end node</x:v>
      </x:c>
      <x:c r="E193" s="20" t="str">
        <x:v>GI GILIMANUK</x:v>
      </x:c>
      <x:c r="F193" s="20" t="n">
        <x:v>150</x:v>
      </x:c>
      <x:c r="G193" s="20" t="str">
        <x:v>CLB-C2</x:v>
      </x:c>
      <x:c r="H193" s="20" t="str">
        <x:v>SLD_DERIVED</x:v>
      </x:c>
      <x:c r="I193" s="40" t="n">
        <x:v>0.55</x:v>
      </x:c>
      <x:c r="J193" s="20" t="str">
        <x:v>DRAFT</x:v>
      </x:c>
      <x:c r="K193" s="20" t="str"/>
      <x:c r="L193" s="20" t="str">
        <x:v>Connectivity node CLB-C2 local line-end node.</x:v>
      </x:c>
    </x:row>
    <x:row r="194">
      <x:c r="A194" s="20" t="str">
        <x:v>CN-CLB-CLB-C2-BOUNDARY</x:v>
      </x:c>
      <x:c r="B194" s="20" t="str">
        <x:v>8f3d9a9c-49e1-50d2-a339-72cd8ac639eb</x:v>
      </x:c>
      <x:c r="C194" s="20" t="str">
        <x:v>ConnectivityNode</x:v>
      </x:c>
      <x:c r="D194" s="20" t="str">
        <x:v>GIS CELUKAN BAWANG CLB-C2 boundary node</x:v>
      </x:c>
      <x:c r="E194" s="20" t="str">
        <x:v>GIS CELUKAN BAWANG</x:v>
      </x:c>
      <x:c r="F194" s="20" t="n">
        <x:v>150</x:v>
      </x:c>
      <x:c r="G194" s="20" t="str">
        <x:v>CLB-C2</x:v>
      </x:c>
      <x:c r="H194" s="20" t="str">
        <x:v>SLD_DERIVED</x:v>
      </x:c>
      <x:c r="I194" s="40" t="n">
        <x:v>0.55</x:v>
      </x:c>
      <x:c r="J194" s="20" t="str">
        <x:v>DRAFT</x:v>
      </x:c>
      <x:c r="K194" s="20" t="str"/>
      <x:c r="L194" s="20" t="str">
        <x:v>Connectivity node GIS CELUKAN BAWANG CLB-C2 boundary node.</x:v>
      </x:c>
    </x:row>
    <x:row r="195">
      <x:c r="A195" s="20" t="str">
        <x:v>GIL-150-CLB-C2-DS-A</x:v>
      </x:c>
      <x:c r="B195" s="20" t="str">
        <x:v>dc361b2c-880f-5dc6-aa57-c51f58c97d30</x:v>
      </x:c>
      <x:c r="C195" s="20" t="str">
        <x:v>Disconnector</x:v>
      </x:c>
      <x:c r="D195" s="20" t="str">
        <x:v>DS BUS A CLB-C2</x:v>
      </x:c>
      <x:c r="E195" s="20" t="str">
        <x:v>GI GILIMANUK</x:v>
      </x:c>
      <x:c r="F195" s="20" t="n">
        <x:v>150</x:v>
      </x:c>
      <x:c r="G195" s="20" t="str">
        <x:v>CLB-C2</x:v>
      </x:c>
      <x:c r="H195" s="20" t="str">
        <x:v>ASSUMED</x:v>
      </x:c>
      <x:c r="I195" s="40" t="n">
        <x:v>0.65</x:v>
      </x:c>
      <x:c r="J195" s="20" t="str">
        <x:v>DRAFT</x:v>
      </x:c>
      <x:c r="K195" s="20" t="str"/>
      <x:c r="L195" s="20" t="str">
        <x:v>Provisional bus-A selector disconnector generated from the standard double-bus single-breaker bay template.</x:v>
      </x:c>
    </x:row>
    <x:row r="196">
      <x:c r="A196" s="20" t="str">
        <x:v>DS::GIL::CLB-C2::BUS-A-T1</x:v>
      </x:c>
      <x:c r="B196" s="20" t="str">
        <x:v>93a018c2-9374-56e1-813c-86b03e47d660</x:v>
      </x:c>
      <x:c r="C196" s="20" t="str">
        <x:v>Terminal</x:v>
      </x:c>
      <x:c r="D196" s="20" t="str">
        <x:v>1</x:v>
      </x:c>
      <x:c r="E196" s="20" t="str"/>
      <x:c r="F196" s="20" t="str"/>
      <x:c r="G196" s="20" t="str"/>
      <x:c r="H196" s="20" t="str">
        <x:v>ASSUMED</x:v>
      </x:c>
      <x:c r="I196" s="40" t="n">
        <x:v>0.65</x:v>
      </x:c>
      <x:c r="J196" s="20" t="str">
        <x:v>DRAFT</x:v>
      </x:c>
      <x:c r="K196" s="20" t="str"/>
      <x:c r="L196" s="20" t="str">
        <x:v>Terminal 1 of DS BUS A CLB-C2</x:v>
      </x:c>
    </x:row>
    <x:row r="197">
      <x:c r="A197" s="20" t="str">
        <x:v>DS::GIL::CLB-C2::BUS-A-T2</x:v>
      </x:c>
      <x:c r="B197" s="20" t="str">
        <x:v>940f4a00-d8a4-5594-b6d8-f077b299ec02</x:v>
      </x:c>
      <x:c r="C197" s="20" t="str">
        <x:v>Terminal</x:v>
      </x:c>
      <x:c r="D197" s="20" t="str">
        <x:v>2</x:v>
      </x:c>
      <x:c r="E197" s="20" t="str"/>
      <x:c r="F197" s="20" t="str"/>
      <x:c r="G197" s="20" t="str"/>
      <x:c r="H197" s="20" t="str">
        <x:v>ASSUMED</x:v>
      </x:c>
      <x:c r="I197" s="40" t="n">
        <x:v>0.65</x:v>
      </x:c>
      <x:c r="J197" s="20" t="str">
        <x:v>DRAFT</x:v>
      </x:c>
      <x:c r="K197" s="20" t="str"/>
      <x:c r="L197" s="20" t="str">
        <x:v>Terminal 2 of DS BUS A CLB-C2</x:v>
      </x:c>
    </x:row>
    <x:row r="198">
      <x:c r="A198" s="20" t="str">
        <x:v>GIL-150-CLB-C2-DS-B</x:v>
      </x:c>
      <x:c r="B198" s="20" t="str">
        <x:v>23977e2b-e57a-57c7-88b0-ef84150e428f</x:v>
      </x:c>
      <x:c r="C198" s="20" t="str">
        <x:v>Disconnector</x:v>
      </x:c>
      <x:c r="D198" s="20" t="str">
        <x:v>DS BUS B CLB-C2</x:v>
      </x:c>
      <x:c r="E198" s="20" t="str">
        <x:v>GI GILIMANUK</x:v>
      </x:c>
      <x:c r="F198" s="20" t="n">
        <x:v>150</x:v>
      </x:c>
      <x:c r="G198" s="20" t="str">
        <x:v>CLB-C2</x:v>
      </x:c>
      <x:c r="H198" s="20" t="str">
        <x:v>ASSUMED</x:v>
      </x:c>
      <x:c r="I198" s="40" t="n">
        <x:v>0.65</x:v>
      </x:c>
      <x:c r="J198" s="20" t="str">
        <x:v>DRAFT</x:v>
      </x:c>
      <x:c r="K198" s="20" t="str"/>
      <x:c r="L198" s="20" t="str">
        <x:v>Provisional bus-B selector disconnector generated from the standard double-bus single-breaker bay template.</x:v>
      </x:c>
    </x:row>
    <x:row r="199">
      <x:c r="A199" s="20" t="str">
        <x:v>DS::GIL::CLB-C2::BUS-B-T1</x:v>
      </x:c>
      <x:c r="B199" s="20" t="str">
        <x:v>18e27b46-2f9d-59d5-8597-01b917bddca3</x:v>
      </x:c>
      <x:c r="C199" s="20" t="str">
        <x:v>Terminal</x:v>
      </x:c>
      <x:c r="D199" s="20" t="str">
        <x:v>1</x:v>
      </x:c>
      <x:c r="E199" s="20" t="str"/>
      <x:c r="F199" s="20" t="str"/>
      <x:c r="G199" s="20" t="str"/>
      <x:c r="H199" s="20" t="str">
        <x:v>ASSUMED</x:v>
      </x:c>
      <x:c r="I199" s="40" t="n">
        <x:v>0.65</x:v>
      </x:c>
      <x:c r="J199" s="20" t="str">
        <x:v>DRAFT</x:v>
      </x:c>
      <x:c r="K199" s="20" t="str"/>
      <x:c r="L199" s="20" t="str">
        <x:v>Terminal 1 of DS BUS B CLB-C2</x:v>
      </x:c>
    </x:row>
    <x:row r="200">
      <x:c r="A200" s="20" t="str">
        <x:v>DS::GIL::CLB-C2::BUS-B-T2</x:v>
      </x:c>
      <x:c r="B200" s="20" t="str">
        <x:v>7230bbfd-2b45-56f5-a145-ac2a8f6dcb6b</x:v>
      </x:c>
      <x:c r="C200" s="20" t="str">
        <x:v>Terminal</x:v>
      </x:c>
      <x:c r="D200" s="20" t="str">
        <x:v>2</x:v>
      </x:c>
      <x:c r="E200" s="20" t="str"/>
      <x:c r="F200" s="20" t="str"/>
      <x:c r="G200" s="20" t="str"/>
      <x:c r="H200" s="20" t="str">
        <x:v>ASSUMED</x:v>
      </x:c>
      <x:c r="I200" s="40" t="n">
        <x:v>0.65</x:v>
      </x:c>
      <x:c r="J200" s="20" t="str">
        <x:v>DRAFT</x:v>
      </x:c>
      <x:c r="K200" s="20" t="str"/>
      <x:c r="L200" s="20" t="str">
        <x:v>Terminal 2 of DS BUS B CLB-C2</x:v>
      </x:c>
    </x:row>
    <x:row r="201">
      <x:c r="A201" s="20" t="str">
        <x:v>GIL-150-CLB-C2-CB</x:v>
      </x:c>
      <x:c r="B201" s="20" t="str">
        <x:v>9f80eb61-69cb-515b-a8ad-bcfe896ef884</x:v>
      </x:c>
      <x:c r="C201" s="20" t="str">
        <x:v>Breaker</x:v>
      </x:c>
      <x:c r="D201" s="20" t="str">
        <x:v>CB CLB-C2</x:v>
      </x:c>
      <x:c r="E201" s="20" t="str">
        <x:v>GI GILIMANUK</x:v>
      </x:c>
      <x:c r="F201" s="20" t="n">
        <x:v>150</x:v>
      </x:c>
      <x:c r="G201" s="20" t="str">
        <x:v>CLB-C2</x:v>
      </x:c>
      <x:c r="H201" s="20" t="str">
        <x:v>ASSUMED</x:v>
      </x:c>
      <x:c r="I201" s="40" t="n">
        <x:v>0.7</x:v>
      </x:c>
      <x:c r="J201" s="20" t="str">
        <x:v>DRAFT</x:v>
      </x:c>
      <x:c r="K201" s="20" t="str"/>
      <x:c r="L201" s="20" t="str">
        <x:v>Provisional line circuit breaker generated from the SLD bay position.</x:v>
      </x:c>
    </x:row>
    <x:row r="202">
      <x:c r="A202" s="20" t="str">
        <x:v>CB::GIL::CLB-C2-T1</x:v>
      </x:c>
      <x:c r="B202" s="20" t="str">
        <x:v>30af6458-85f7-51ae-ae54-8e0d0e7f6091</x:v>
      </x:c>
      <x:c r="C202" s="20" t="str">
        <x:v>Terminal</x:v>
      </x:c>
      <x:c r="D202" s="20" t="str">
        <x:v>1</x:v>
      </x:c>
      <x:c r="E202" s="20" t="str"/>
      <x:c r="F202" s="20" t="str"/>
      <x:c r="G202" s="20" t="str"/>
      <x:c r="H202" s="20" t="str">
        <x:v>ASSUMED</x:v>
      </x:c>
      <x:c r="I202" s="40" t="n">
        <x:v>0.7</x:v>
      </x:c>
      <x:c r="J202" s="20" t="str">
        <x:v>DRAFT</x:v>
      </x:c>
      <x:c r="K202" s="20" t="str"/>
      <x:c r="L202" s="20" t="str">
        <x:v>Terminal 1 of CB CLB-C2</x:v>
      </x:c>
    </x:row>
    <x:row r="203">
      <x:c r="A203" s="20" t="str">
        <x:v>CB::GIL::CLB-C2-T2</x:v>
      </x:c>
      <x:c r="B203" s="20" t="str">
        <x:v>9dbc4851-949f-5b25-9e47-e8e7f92dc35e</x:v>
      </x:c>
      <x:c r="C203" s="20" t="str">
        <x:v>Terminal</x:v>
      </x:c>
      <x:c r="D203" s="20" t="str">
        <x:v>2</x:v>
      </x:c>
      <x:c r="E203" s="20" t="str"/>
      <x:c r="F203" s="20" t="str"/>
      <x:c r="G203" s="20" t="str"/>
      <x:c r="H203" s="20" t="str">
        <x:v>ASSUMED</x:v>
      </x:c>
      <x:c r="I203" s="40" t="n">
        <x:v>0.7</x:v>
      </x:c>
      <x:c r="J203" s="20" t="str">
        <x:v>DRAFT</x:v>
      </x:c>
      <x:c r="K203" s="20" t="str"/>
      <x:c r="L203" s="20" t="str">
        <x:v>Terminal 2 of CB CLB-C2</x:v>
      </x:c>
    </x:row>
    <x:row r="204">
      <x:c r="A204" s="20" t="str">
        <x:v>GIL-150-CLB-C2-DS-LINE</x:v>
      </x:c>
      <x:c r="B204" s="20" t="str">
        <x:v>e0df5071-4472-511f-8834-e784bfdf4893</x:v>
      </x:c>
      <x:c r="C204" s="20" t="str">
        <x:v>Disconnector</x:v>
      </x:c>
      <x:c r="D204" s="20" t="str">
        <x:v>DS LINE CLB-C2</x:v>
      </x:c>
      <x:c r="E204" s="20" t="str">
        <x:v>GI GILIMANUK</x:v>
      </x:c>
      <x:c r="F204" s="20" t="n">
        <x:v>150</x:v>
      </x:c>
      <x:c r="G204" s="20" t="str">
        <x:v>CLB-C2</x:v>
      </x:c>
      <x:c r="H204" s="20" t="str">
        <x:v>ASSUMED</x:v>
      </x:c>
      <x:c r="I204" s="40" t="n">
        <x:v>0.65</x:v>
      </x:c>
      <x:c r="J204" s="20" t="str">
        <x:v>DRAFT</x:v>
      </x:c>
      <x:c r="K204" s="20" t="str"/>
      <x:c r="L204" s="20" t="str">
        <x:v>Provisional line-side disconnector generated from the standard bay template.</x:v>
      </x:c>
    </x:row>
    <x:row r="205">
      <x:c r="A205" s="20" t="str">
        <x:v>DS::GIL::CLB-C2::LINE-T1</x:v>
      </x:c>
      <x:c r="B205" s="20" t="str">
        <x:v>d5531308-31e8-5e5e-ab5f-b3b5f20c6025</x:v>
      </x:c>
      <x:c r="C205" s="20" t="str">
        <x:v>Terminal</x:v>
      </x:c>
      <x:c r="D205" s="20" t="str">
        <x:v>1</x:v>
      </x:c>
      <x:c r="E205" s="20" t="str"/>
      <x:c r="F205" s="20" t="str"/>
      <x:c r="G205" s="20" t="str"/>
      <x:c r="H205" s="20" t="str">
        <x:v>ASSUMED</x:v>
      </x:c>
      <x:c r="I205" s="40" t="n">
        <x:v>0.65</x:v>
      </x:c>
      <x:c r="J205" s="20" t="str">
        <x:v>DRAFT</x:v>
      </x:c>
      <x:c r="K205" s="20" t="str"/>
      <x:c r="L205" s="20" t="str">
        <x:v>Terminal 1 of DS LINE CLB-C2</x:v>
      </x:c>
    </x:row>
    <x:row r="206">
      <x:c r="A206" s="20" t="str">
        <x:v>DS::GIL::CLB-C2::LINE-T2</x:v>
      </x:c>
      <x:c r="B206" s="20" t="str">
        <x:v>f0bdf4c1-3d97-551e-9ad4-593f2f2444bc</x:v>
      </x:c>
      <x:c r="C206" s="20" t="str">
        <x:v>Terminal</x:v>
      </x:c>
      <x:c r="D206" s="20" t="str">
        <x:v>2</x:v>
      </x:c>
      <x:c r="E206" s="20" t="str"/>
      <x:c r="F206" s="20" t="str"/>
      <x:c r="G206" s="20" t="str"/>
      <x:c r="H206" s="20" t="str">
        <x:v>ASSUMED</x:v>
      </x:c>
      <x:c r="I206" s="40" t="n">
        <x:v>0.65</x:v>
      </x:c>
      <x:c r="J206" s="20" t="str">
        <x:v>DRAFT</x:v>
      </x:c>
      <x:c r="K206" s="20" t="str"/>
      <x:c r="L206" s="20" t="str">
        <x:v>Terminal 2 of DS LINE CLB-C2</x:v>
      </x:c>
    </x:row>
    <x:row r="207">
      <x:c r="A207" s="20" t="str">
        <x:v>LINE-GIL-CLB-C2</x:v>
      </x:c>
      <x:c r="B207" s="20" t="str">
        <x:v>bd1cac85-013a-5f2d-8d0d-d0e907c1c45b</x:v>
      </x:c>
      <x:c r="C207" s="20" t="str">
        <x:v>Line</x:v>
      </x:c>
      <x:c r="D207" s="20" t="str">
        <x:v>LINE GILIMANUK–GIS CELUKAN BAWANG CLB-C2</x:v>
      </x:c>
      <x:c r="E207" s="20" t="str"/>
      <x:c r="F207" s="20" t="str"/>
      <x:c r="G207" s="20" t="str"/>
      <x:c r="H207" s="20" t="str">
        <x:v>SLD_DERIVED</x:v>
      </x:c>
      <x:c r="I207" s="40" t="n">
        <x:v>0.55</x:v>
      </x:c>
      <x:c r="J207" s="20" t="str">
        <x:v>DRAFT</x:v>
      </x:c>
      <x:c r="K207" s="20" t="str"/>
      <x:c r="L207" s="20" t="str">
        <x:v>Canonical line container for circuit CLB-C2.</x:v>
      </x:c>
    </x:row>
    <x:row r="208">
      <x:c r="A208" s="20" t="str">
        <x:v>GIL-CLB-150-C2</x:v>
      </x:c>
      <x:c r="B208" s="20" t="str">
        <x:v>32b78498-162e-532f-b8d4-de216468c81c</x:v>
      </x:c>
      <x:c r="C208" s="20" t="str">
        <x:v>ACLineSegment</x:v>
      </x:c>
      <x:c r="D208" s="20" t="str">
        <x:v>AC LINE CLB-C2</x:v>
      </x:c>
      <x:c r="E208" s="20" t="str">
        <x:v>INTER-GI</x:v>
      </x:c>
      <x:c r="F208" s="20" t="n">
        <x:v>150</x:v>
      </x:c>
      <x:c r="G208" s="20" t="str">
        <x:v>CLB-C2</x:v>
      </x:c>
      <x:c r="H208" s="20" t="str">
        <x:v>SLD_AND_SOURCE_RECONCILED</x:v>
      </x:c>
      <x:c r="I208" s="40" t="n">
        <x:v>0.55</x:v>
      </x:c>
      <x:c r="J208" s="20" t="str">
        <x:v>DRAFT</x:v>
      </x:c>
      <x:c r="K208" s="20" t="str">
        <x:v>86e3270f-06a3-4b15-aac0-29f9e2666d50</x:v>
      </x:c>
      <x:c r="L208" s="20" t="str">
        <x:v>Canonical ACLineSegment GILIMANUK–GIS CELUKAN BAWANG circuit 2.</x:v>
      </x:c>
    </x:row>
    <x:row r="209">
      <x:c r="A209" s="20" t="str">
        <x:v>ACLINE::CLB-C2-T1</x:v>
      </x:c>
      <x:c r="B209" s="20" t="str">
        <x:v>c52b7fb5-8e2e-5ca8-a868-dc3dc0aacf46</x:v>
      </x:c>
      <x:c r="C209" s="20" t="str">
        <x:v>Terminal</x:v>
      </x:c>
      <x:c r="D209" s="20" t="str">
        <x:v>1</x:v>
      </x:c>
      <x:c r="E209" s="20" t="str"/>
      <x:c r="F209" s="20" t="str"/>
      <x:c r="G209" s="20" t="str"/>
      <x:c r="H209" s="20" t="str">
        <x:v>SLD_AND_SOURCE_RECONCILED</x:v>
      </x:c>
      <x:c r="I209" s="40" t="n">
        <x:v>0.55</x:v>
      </x:c>
      <x:c r="J209" s="20" t="str">
        <x:v>DRAFT</x:v>
      </x:c>
      <x:c r="K209" s="20" t="str"/>
      <x:c r="L209" s="20" t="str">
        <x:v>Terminal 1 of AC LINE CLB-C2</x:v>
      </x:c>
    </x:row>
    <x:row r="210">
      <x:c r="A210" s="20" t="str">
        <x:v>ACLINE::CLB-C2-T2</x:v>
      </x:c>
      <x:c r="B210" s="20" t="str">
        <x:v>ae888f2f-baaf-58c6-b811-15edc1e7fccc</x:v>
      </x:c>
      <x:c r="C210" s="20" t="str">
        <x:v>Terminal</x:v>
      </x:c>
      <x:c r="D210" s="20" t="str">
        <x:v>2</x:v>
      </x:c>
      <x:c r="E210" s="20" t="str"/>
      <x:c r="F210" s="20" t="str"/>
      <x:c r="G210" s="20" t="str"/>
      <x:c r="H210" s="20" t="str">
        <x:v>SLD_AND_SOURCE_RECONCILED</x:v>
      </x:c>
      <x:c r="I210" s="40" t="n">
        <x:v>0.55</x:v>
      </x:c>
      <x:c r="J210" s="20" t="str">
        <x:v>DRAFT</x:v>
      </x:c>
      <x:c r="K210" s="20" t="str"/>
      <x:c r="L210" s="20" t="str">
        <x:v>Terminal 2 of AC LINE CLB-C2</x:v>
      </x:c>
    </x:row>
    <x:row r="211">
      <x:c r="A211" s="20" t="str">
        <x:v>GIL-150-BAY-PMR-C1</x:v>
      </x:c>
      <x:c r="B211" s="20" t="str">
        <x:v>b74b7b8a-3dec-5a79-8d82-115cb40a638b</x:v>
      </x:c>
      <x:c r="C211" s="20" t="str">
        <x:v>Bay</x:v>
      </x:c>
      <x:c r="D211" s="20" t="str">
        <x:v>LINE BAY PMR-C1 GILIMANUK</x:v>
      </x:c>
      <x:c r="E211" s="20" t="str">
        <x:v>GI GILIMANUK</x:v>
      </x:c>
      <x:c r="F211" s="20" t="n">
        <x:v>150</x:v>
      </x:c>
      <x:c r="G211" s="20" t="str">
        <x:v>PMR-C1</x:v>
      </x:c>
      <x:c r="H211" s="20" t="str">
        <x:v>SLD_DERIVED</x:v>
      </x:c>
      <x:c r="I211" s="40" t="n">
        <x:v>0.7</x:v>
      </x:c>
      <x:c r="J211" s="20" t="str">
        <x:v>DRAFT</x:v>
      </x:c>
      <x:c r="K211" s="20" t="str">
        <x:v>2eba8d3a-7a77-4157-a86f-9beb2045c76e; 63922e1f-1005-40aa-8b21-6c903c4fe4c2</x:v>
      </x:c>
      <x:c r="L211" s="20" t="str">
        <x:v>Canonical local line bay for GILIMANUK–GI PEMARON circuit 1.</x:v>
      </x:c>
    </x:row>
    <x:row r="212">
      <x:c r="A212" s="20" t="str">
        <x:v>CN-GIL-PMR-C1-SELECT</x:v>
      </x:c>
      <x:c r="B212" s="20" t="str">
        <x:v>3732a4e7-a07d-5942-ba43-5df8ecbb86b1</x:v>
      </x:c>
      <x:c r="C212" s="20" t="str">
        <x:v>ConnectivityNode</x:v>
      </x:c>
      <x:c r="D212" s="20" t="str">
        <x:v>PMR-C1 bus-selection node</x:v>
      </x:c>
      <x:c r="E212" s="20" t="str">
        <x:v>GI GILIMANUK</x:v>
      </x:c>
      <x:c r="F212" s="20" t="n">
        <x:v>150</x:v>
      </x:c>
      <x:c r="G212" s="20" t="str">
        <x:v>PMR-C1</x:v>
      </x:c>
      <x:c r="H212" s="20" t="str">
        <x:v>ASSUMED</x:v>
      </x:c>
      <x:c r="I212" s="40" t="n">
        <x:v>0.65</x:v>
      </x:c>
      <x:c r="J212" s="20" t="str">
        <x:v>DRAFT</x:v>
      </x:c>
      <x:c r="K212" s="20" t="str"/>
      <x:c r="L212" s="20" t="str">
        <x:v>Connectivity node PMR-C1 bus-selection node.</x:v>
      </x:c>
    </x:row>
    <x:row r="213">
      <x:c r="A213" s="20" t="str">
        <x:v>CN-GIL-PMR-C1-CB-LINE</x:v>
      </x:c>
      <x:c r="B213" s="20" t="str">
        <x:v>52d26f67-ca62-5000-9772-c419f84a4e3e</x:v>
      </x:c>
      <x:c r="C213" s="20" t="str">
        <x:v>ConnectivityNode</x:v>
      </x:c>
      <x:c r="D213" s="20" t="str">
        <x:v>PMR-C1 breaker-line node</x:v>
      </x:c>
      <x:c r="E213" s="20" t="str">
        <x:v>GI GILIMANUK</x:v>
      </x:c>
      <x:c r="F213" s="20" t="n">
        <x:v>150</x:v>
      </x:c>
      <x:c r="G213" s="20" t="str">
        <x:v>PMR-C1</x:v>
      </x:c>
      <x:c r="H213" s="20" t="str">
        <x:v>ASSUMED</x:v>
      </x:c>
      <x:c r="I213" s="40" t="n">
        <x:v>0.65</x:v>
      </x:c>
      <x:c r="J213" s="20" t="str">
        <x:v>DRAFT</x:v>
      </x:c>
      <x:c r="K213" s="20" t="str"/>
      <x:c r="L213" s="20" t="str">
        <x:v>Connectivity node PMR-C1 breaker-line node.</x:v>
      </x:c>
    </x:row>
    <x:row r="214">
      <x:c r="A214" s="20" t="str">
        <x:v>CN-GIL-PMR-C1-LINE-END</x:v>
      </x:c>
      <x:c r="B214" s="20" t="str">
        <x:v>27d4c2e1-899b-58b7-8978-428067040549</x:v>
      </x:c>
      <x:c r="C214" s="20" t="str">
        <x:v>ConnectivityNode</x:v>
      </x:c>
      <x:c r="D214" s="20" t="str">
        <x:v>PMR-C1 local line-end node</x:v>
      </x:c>
      <x:c r="E214" s="20" t="str">
        <x:v>GI GILIMANUK</x:v>
      </x:c>
      <x:c r="F214" s="20" t="n">
        <x:v>150</x:v>
      </x:c>
      <x:c r="G214" s="20" t="str">
        <x:v>PMR-C1</x:v>
      </x:c>
      <x:c r="H214" s="20" t="str">
        <x:v>SLD_DERIVED</x:v>
      </x:c>
      <x:c r="I214" s="40" t="n">
        <x:v>0.7</x:v>
      </x:c>
      <x:c r="J214" s="20" t="str">
        <x:v>DRAFT</x:v>
      </x:c>
      <x:c r="K214" s="20" t="str"/>
      <x:c r="L214" s="20" t="str">
        <x:v>Connectivity node PMR-C1 local line-end node.</x:v>
      </x:c>
    </x:row>
    <x:row r="215">
      <x:c r="A215" s="20" t="str">
        <x:v>CN-PMR-PMR-C1-BOUNDARY</x:v>
      </x:c>
      <x:c r="B215" s="20" t="str">
        <x:v>9ce6704b-184a-58e2-bf50-937eafbba31f</x:v>
      </x:c>
      <x:c r="C215" s="20" t="str">
        <x:v>ConnectivityNode</x:v>
      </x:c>
      <x:c r="D215" s="20" t="str">
        <x:v>GI PEMARON PMR-C1 boundary node</x:v>
      </x:c>
      <x:c r="E215" s="20" t="str">
        <x:v>GI PEMARON</x:v>
      </x:c>
      <x:c r="F215" s="20" t="n">
        <x:v>150</x:v>
      </x:c>
      <x:c r="G215" s="20" t="str">
        <x:v>PMR-C1</x:v>
      </x:c>
      <x:c r="H215" s="20" t="str">
        <x:v>SLD_DERIVED</x:v>
      </x:c>
      <x:c r="I215" s="40" t="n">
        <x:v>0.7</x:v>
      </x:c>
      <x:c r="J215" s="20" t="str">
        <x:v>DRAFT</x:v>
      </x:c>
      <x:c r="K215" s="20" t="str"/>
      <x:c r="L215" s="20" t="str">
        <x:v>Connectivity node GI PEMARON PMR-C1 boundary node.</x:v>
      </x:c>
    </x:row>
    <x:row r="216">
      <x:c r="A216" s="20" t="str">
        <x:v>GIL-150-PMR-C1-DS-A</x:v>
      </x:c>
      <x:c r="B216" s="20" t="str">
        <x:v>16bc2d38-ec38-5af2-a028-17e0043fe2e7</x:v>
      </x:c>
      <x:c r="C216" s="20" t="str">
        <x:v>Disconnector</x:v>
      </x:c>
      <x:c r="D216" s="20" t="str">
        <x:v>DS BUS A PMR-C1</x:v>
      </x:c>
      <x:c r="E216" s="20" t="str">
        <x:v>GI GILIMANUK</x:v>
      </x:c>
      <x:c r="F216" s="20" t="n">
        <x:v>150</x:v>
      </x:c>
      <x:c r="G216" s="20" t="str">
        <x:v>PMR-C1</x:v>
      </x:c>
      <x:c r="H216" s="20" t="str">
        <x:v>ASSUMED</x:v>
      </x:c>
      <x:c r="I216" s="40" t="n">
        <x:v>0.65</x:v>
      </x:c>
      <x:c r="J216" s="20" t="str">
        <x:v>DRAFT</x:v>
      </x:c>
      <x:c r="K216" s="20" t="str"/>
      <x:c r="L216" s="20" t="str">
        <x:v>Provisional bus-A selector disconnector generated from the standard double-bus single-breaker bay template.</x:v>
      </x:c>
    </x:row>
    <x:row r="217">
      <x:c r="A217" s="20" t="str">
        <x:v>DS::GIL::PMR-C1::BUS-A-T1</x:v>
      </x:c>
      <x:c r="B217" s="20" t="str">
        <x:v>cff5cb4b-b250-52d2-849c-ce645fef7552</x:v>
      </x:c>
      <x:c r="C217" s="20" t="str">
        <x:v>Terminal</x:v>
      </x:c>
      <x:c r="D217" s="20" t="str">
        <x:v>1</x:v>
      </x:c>
      <x:c r="E217" s="20" t="str"/>
      <x:c r="F217" s="20" t="str"/>
      <x:c r="G217" s="20" t="str"/>
      <x:c r="H217" s="20" t="str">
        <x:v>ASSUMED</x:v>
      </x:c>
      <x:c r="I217" s="40" t="n">
        <x:v>0.65</x:v>
      </x:c>
      <x:c r="J217" s="20" t="str">
        <x:v>DRAFT</x:v>
      </x:c>
      <x:c r="K217" s="20" t="str"/>
      <x:c r="L217" s="20" t="str">
        <x:v>Terminal 1 of DS BUS A PMR-C1</x:v>
      </x:c>
    </x:row>
    <x:row r="218">
      <x:c r="A218" s="20" t="str">
        <x:v>DS::GIL::PMR-C1::BUS-A-T2</x:v>
      </x:c>
      <x:c r="B218" s="20" t="str">
        <x:v>2b4c4c1d-ed70-52e4-abb6-6b5c5f08bc6a</x:v>
      </x:c>
      <x:c r="C218" s="20" t="str">
        <x:v>Terminal</x:v>
      </x:c>
      <x:c r="D218" s="20" t="str">
        <x:v>2</x:v>
      </x:c>
      <x:c r="E218" s="20" t="str"/>
      <x:c r="F218" s="20" t="str"/>
      <x:c r="G218" s="20" t="str"/>
      <x:c r="H218" s="20" t="str">
        <x:v>ASSUMED</x:v>
      </x:c>
      <x:c r="I218" s="40" t="n">
        <x:v>0.65</x:v>
      </x:c>
      <x:c r="J218" s="20" t="str">
        <x:v>DRAFT</x:v>
      </x:c>
      <x:c r="K218" s="20" t="str"/>
      <x:c r="L218" s="20" t="str">
        <x:v>Terminal 2 of DS BUS A PMR-C1</x:v>
      </x:c>
    </x:row>
    <x:row r="219">
      <x:c r="A219" s="20" t="str">
        <x:v>GIL-150-PMR-C1-DS-B</x:v>
      </x:c>
      <x:c r="B219" s="20" t="str">
        <x:v>ce186fb0-7dd0-53ef-b7c9-b618c804d71f</x:v>
      </x:c>
      <x:c r="C219" s="20" t="str">
        <x:v>Disconnector</x:v>
      </x:c>
      <x:c r="D219" s="20" t="str">
        <x:v>DS BUS B PMR-C1</x:v>
      </x:c>
      <x:c r="E219" s="20" t="str">
        <x:v>GI GILIMANUK</x:v>
      </x:c>
      <x:c r="F219" s="20" t="n">
        <x:v>150</x:v>
      </x:c>
      <x:c r="G219" s="20" t="str">
        <x:v>PMR-C1</x:v>
      </x:c>
      <x:c r="H219" s="20" t="str">
        <x:v>ASSUMED</x:v>
      </x:c>
      <x:c r="I219" s="40" t="n">
        <x:v>0.65</x:v>
      </x:c>
      <x:c r="J219" s="20" t="str">
        <x:v>DRAFT</x:v>
      </x:c>
      <x:c r="K219" s="20" t="str"/>
      <x:c r="L219" s="20" t="str">
        <x:v>Provisional bus-B selector disconnector generated from the standard double-bus single-breaker bay template.</x:v>
      </x:c>
    </x:row>
    <x:row r="220">
      <x:c r="A220" s="20" t="str">
        <x:v>DS::GIL::PMR-C1::BUS-B-T1</x:v>
      </x:c>
      <x:c r="B220" s="20" t="str">
        <x:v>12d2b9e2-c80a-5582-b3d7-b5c4a89a43dd</x:v>
      </x:c>
      <x:c r="C220" s="20" t="str">
        <x:v>Terminal</x:v>
      </x:c>
      <x:c r="D220" s="20" t="str">
        <x:v>1</x:v>
      </x:c>
      <x:c r="E220" s="20" t="str"/>
      <x:c r="F220" s="20" t="str"/>
      <x:c r="G220" s="20" t="str"/>
      <x:c r="H220" s="20" t="str">
        <x:v>ASSUMED</x:v>
      </x:c>
      <x:c r="I220" s="40" t="n">
        <x:v>0.65</x:v>
      </x:c>
      <x:c r="J220" s="20" t="str">
        <x:v>DRAFT</x:v>
      </x:c>
      <x:c r="K220" s="20" t="str"/>
      <x:c r="L220" s="20" t="str">
        <x:v>Terminal 1 of DS BUS B PMR-C1</x:v>
      </x:c>
    </x:row>
    <x:row r="221">
      <x:c r="A221" s="20" t="str">
        <x:v>DS::GIL::PMR-C1::BUS-B-T2</x:v>
      </x:c>
      <x:c r="B221" s="20" t="str">
        <x:v>8cd5321d-7e7d-5705-aa7f-998077e0a843</x:v>
      </x:c>
      <x:c r="C221" s="20" t="str">
        <x:v>Terminal</x:v>
      </x:c>
      <x:c r="D221" s="20" t="str">
        <x:v>2</x:v>
      </x:c>
      <x:c r="E221" s="20" t="str"/>
      <x:c r="F221" s="20" t="str"/>
      <x:c r="G221" s="20" t="str"/>
      <x:c r="H221" s="20" t="str">
        <x:v>ASSUMED</x:v>
      </x:c>
      <x:c r="I221" s="40" t="n">
        <x:v>0.65</x:v>
      </x:c>
      <x:c r="J221" s="20" t="str">
        <x:v>DRAFT</x:v>
      </x:c>
      <x:c r="K221" s="20" t="str"/>
      <x:c r="L221" s="20" t="str">
        <x:v>Terminal 2 of DS BUS B PMR-C1</x:v>
      </x:c>
    </x:row>
    <x:row r="222">
      <x:c r="A222" s="20" t="str">
        <x:v>GIL-150-PMR-C1-CB</x:v>
      </x:c>
      <x:c r="B222" s="20" t="str">
        <x:v>79c2ec66-dac7-5026-b088-e9d77ccae4f9</x:v>
      </x:c>
      <x:c r="C222" s="20" t="str">
        <x:v>Breaker</x:v>
      </x:c>
      <x:c r="D222" s="20" t="str">
        <x:v>CB PMR-C1</x:v>
      </x:c>
      <x:c r="E222" s="20" t="str">
        <x:v>GI GILIMANUK</x:v>
      </x:c>
      <x:c r="F222" s="20" t="n">
        <x:v>150</x:v>
      </x:c>
      <x:c r="G222" s="20" t="str">
        <x:v>PMR-C1</x:v>
      </x:c>
      <x:c r="H222" s="20" t="str">
        <x:v>ASSUMED</x:v>
      </x:c>
      <x:c r="I222" s="40" t="n">
        <x:v>0.7</x:v>
      </x:c>
      <x:c r="J222" s="20" t="str">
        <x:v>DRAFT</x:v>
      </x:c>
      <x:c r="K222" s="20" t="str"/>
      <x:c r="L222" s="20" t="str">
        <x:v>Provisional line circuit breaker generated from the SLD bay position.</x:v>
      </x:c>
    </x:row>
    <x:row r="223">
      <x:c r="A223" s="20" t="str">
        <x:v>CB::GIL::PMR-C1-T1</x:v>
      </x:c>
      <x:c r="B223" s="20" t="str">
        <x:v>7522def8-2fb0-5fc6-a91a-f24c85b5fefb</x:v>
      </x:c>
      <x:c r="C223" s="20" t="str">
        <x:v>Terminal</x:v>
      </x:c>
      <x:c r="D223" s="20" t="str">
        <x:v>1</x:v>
      </x:c>
      <x:c r="E223" s="20" t="str"/>
      <x:c r="F223" s="20" t="str"/>
      <x:c r="G223" s="20" t="str"/>
      <x:c r="H223" s="20" t="str">
        <x:v>ASSUMED</x:v>
      </x:c>
      <x:c r="I223" s="40" t="n">
        <x:v>0.7</x:v>
      </x:c>
      <x:c r="J223" s="20" t="str">
        <x:v>DRAFT</x:v>
      </x:c>
      <x:c r="K223" s="20" t="str"/>
      <x:c r="L223" s="20" t="str">
        <x:v>Terminal 1 of CB PMR-C1</x:v>
      </x:c>
    </x:row>
    <x:row r="224">
      <x:c r="A224" s="20" t="str">
        <x:v>CB::GIL::PMR-C1-T2</x:v>
      </x:c>
      <x:c r="B224" s="20" t="str">
        <x:v>5d62361d-bae8-5b75-9004-f6c0bbcabb8e</x:v>
      </x:c>
      <x:c r="C224" s="20" t="str">
        <x:v>Terminal</x:v>
      </x:c>
      <x:c r="D224" s="20" t="str">
        <x:v>2</x:v>
      </x:c>
      <x:c r="E224" s="20" t="str"/>
      <x:c r="F224" s="20" t="str"/>
      <x:c r="G224" s="20" t="str"/>
      <x:c r="H224" s="20" t="str">
        <x:v>ASSUMED</x:v>
      </x:c>
      <x:c r="I224" s="40" t="n">
        <x:v>0.7</x:v>
      </x:c>
      <x:c r="J224" s="20" t="str">
        <x:v>DRAFT</x:v>
      </x:c>
      <x:c r="K224" s="20" t="str"/>
      <x:c r="L224" s="20" t="str">
        <x:v>Terminal 2 of CB PMR-C1</x:v>
      </x:c>
    </x:row>
    <x:row r="225">
      <x:c r="A225" s="20" t="str">
        <x:v>GIL-150-PMR-C1-DS-LINE</x:v>
      </x:c>
      <x:c r="B225" s="20" t="str">
        <x:v>21cc8b50-3ea0-52c8-bde0-bbb1eea532ca</x:v>
      </x:c>
      <x:c r="C225" s="20" t="str">
        <x:v>Disconnector</x:v>
      </x:c>
      <x:c r="D225" s="20" t="str">
        <x:v>DS LINE PMR-C1</x:v>
      </x:c>
      <x:c r="E225" s="20" t="str">
        <x:v>GI GILIMANUK</x:v>
      </x:c>
      <x:c r="F225" s="20" t="n">
        <x:v>150</x:v>
      </x:c>
      <x:c r="G225" s="20" t="str">
        <x:v>PMR-C1</x:v>
      </x:c>
      <x:c r="H225" s="20" t="str">
        <x:v>ASSUMED</x:v>
      </x:c>
      <x:c r="I225" s="40" t="n">
        <x:v>0.65</x:v>
      </x:c>
      <x:c r="J225" s="20" t="str">
        <x:v>DRAFT</x:v>
      </x:c>
      <x:c r="K225" s="20" t="str"/>
      <x:c r="L225" s="20" t="str">
        <x:v>Provisional line-side disconnector generated from the standard bay template.</x:v>
      </x:c>
    </x:row>
    <x:row r="226">
      <x:c r="A226" s="20" t="str">
        <x:v>DS::GIL::PMR-C1::LINE-T1</x:v>
      </x:c>
      <x:c r="B226" s="20" t="str">
        <x:v>ca84d19e-20e5-5330-a40f-bd6cdb1eaa00</x:v>
      </x:c>
      <x:c r="C226" s="20" t="str">
        <x:v>Terminal</x:v>
      </x:c>
      <x:c r="D226" s="20" t="str">
        <x:v>1</x:v>
      </x:c>
      <x:c r="E226" s="20" t="str"/>
      <x:c r="F226" s="20" t="str"/>
      <x:c r="G226" s="20" t="str"/>
      <x:c r="H226" s="20" t="str">
        <x:v>ASSUMED</x:v>
      </x:c>
      <x:c r="I226" s="40" t="n">
        <x:v>0.65</x:v>
      </x:c>
      <x:c r="J226" s="20" t="str">
        <x:v>DRAFT</x:v>
      </x:c>
      <x:c r="K226" s="20" t="str"/>
      <x:c r="L226" s="20" t="str">
        <x:v>Terminal 1 of DS LINE PMR-C1</x:v>
      </x:c>
    </x:row>
    <x:row r="227">
      <x:c r="A227" s="20" t="str">
        <x:v>DS::GIL::PMR-C1::LINE-T2</x:v>
      </x:c>
      <x:c r="B227" s="20" t="str">
        <x:v>575e212e-5d1f-5d16-8730-b9e256efbefa</x:v>
      </x:c>
      <x:c r="C227" s="20" t="str">
        <x:v>Terminal</x:v>
      </x:c>
      <x:c r="D227" s="20" t="str">
        <x:v>2</x:v>
      </x:c>
      <x:c r="E227" s="20" t="str"/>
      <x:c r="F227" s="20" t="str"/>
      <x:c r="G227" s="20" t="str"/>
      <x:c r="H227" s="20" t="str">
        <x:v>ASSUMED</x:v>
      </x:c>
      <x:c r="I227" s="40" t="n">
        <x:v>0.65</x:v>
      </x:c>
      <x:c r="J227" s="20" t="str">
        <x:v>DRAFT</x:v>
      </x:c>
      <x:c r="K227" s="20" t="str"/>
      <x:c r="L227" s="20" t="str">
        <x:v>Terminal 2 of DS LINE PMR-C1</x:v>
      </x:c>
    </x:row>
    <x:row r="228">
      <x:c r="A228" s="20" t="str">
        <x:v>LINE-GIL-PMR-C1</x:v>
      </x:c>
      <x:c r="B228" s="20" t="str">
        <x:v>d5a67488-8c9d-5250-8b1a-4eedd0ee7987</x:v>
      </x:c>
      <x:c r="C228" s="20" t="str">
        <x:v>Line</x:v>
      </x:c>
      <x:c r="D228" s="20" t="str">
        <x:v>LINE GILIMANUK–GI PEMARON PMR-C1</x:v>
      </x:c>
      <x:c r="E228" s="20" t="str"/>
      <x:c r="F228" s="20" t="str"/>
      <x:c r="G228" s="20" t="str"/>
      <x:c r="H228" s="20" t="str">
        <x:v>SLD_DERIVED</x:v>
      </x:c>
      <x:c r="I228" s="40" t="n">
        <x:v>0.7</x:v>
      </x:c>
      <x:c r="J228" s="20" t="str">
        <x:v>DRAFT</x:v>
      </x:c>
      <x:c r="K228" s="20" t="str"/>
      <x:c r="L228" s="20" t="str">
        <x:v>Canonical line container for circuit PMR-C1.</x:v>
      </x:c>
    </x:row>
    <x:row r="229">
      <x:c r="A229" s="20" t="str">
        <x:v>GIL-PMR-150-C1</x:v>
      </x:c>
      <x:c r="B229" s="20" t="str">
        <x:v>68452ea5-6ddd-5024-8104-c31fe5ce784d</x:v>
      </x:c>
      <x:c r="C229" s="20" t="str">
        <x:v>ACLineSegment</x:v>
      </x:c>
      <x:c r="D229" s="20" t="str">
        <x:v>AC LINE PMR-C1</x:v>
      </x:c>
      <x:c r="E229" s="20" t="str">
        <x:v>INTER-GI</x:v>
      </x:c>
      <x:c r="F229" s="20" t="n">
        <x:v>150</x:v>
      </x:c>
      <x:c r="G229" s="20" t="str">
        <x:v>PMR-C1</x:v>
      </x:c>
      <x:c r="H229" s="20" t="str">
        <x:v>SLD_AND_SOURCE_RECONCILED</x:v>
      </x:c>
      <x:c r="I229" s="40" t="n">
        <x:v>0.7</x:v>
      </x:c>
      <x:c r="J229" s="20" t="str">
        <x:v>DRAFT</x:v>
      </x:c>
      <x:c r="K229" s="20" t="str">
        <x:v>2eba8d3a-7a77-4157-a86f-9beb2045c76e; 63922e1f-1005-40aa-8b21-6c903c4fe4c2</x:v>
      </x:c>
      <x:c r="L229" s="20" t="str">
        <x:v>Canonical ACLineSegment GILIMANUK–GI PEMARON circuit 1.</x:v>
      </x:c>
    </x:row>
    <x:row r="230">
      <x:c r="A230" s="20" t="str">
        <x:v>ACLINE::PMR-C1-T1</x:v>
      </x:c>
      <x:c r="B230" s="20" t="str">
        <x:v>482446fa-0a2f-50ab-bc08-3d0469d762c1</x:v>
      </x:c>
      <x:c r="C230" s="20" t="str">
        <x:v>Terminal</x:v>
      </x:c>
      <x:c r="D230" s="20" t="str">
        <x:v>1</x:v>
      </x:c>
      <x:c r="E230" s="20" t="str"/>
      <x:c r="F230" s="20" t="str"/>
      <x:c r="G230" s="20" t="str"/>
      <x:c r="H230" s="20" t="str">
        <x:v>SLD_AND_SOURCE_RECONCILED</x:v>
      </x:c>
      <x:c r="I230" s="40" t="n">
        <x:v>0.7</x:v>
      </x:c>
      <x:c r="J230" s="20" t="str">
        <x:v>DRAFT</x:v>
      </x:c>
      <x:c r="K230" s="20" t="str"/>
      <x:c r="L230" s="20" t="str">
        <x:v>Terminal 1 of AC LINE PMR-C1</x:v>
      </x:c>
    </x:row>
    <x:row r="231">
      <x:c r="A231" s="20" t="str">
        <x:v>ACLINE::PMR-C1-T2</x:v>
      </x:c>
      <x:c r="B231" s="20" t="str">
        <x:v>fd07ad4e-1889-5a97-bc9b-a4feee540562</x:v>
      </x:c>
      <x:c r="C231" s="20" t="str">
        <x:v>Terminal</x:v>
      </x:c>
      <x:c r="D231" s="20" t="str">
        <x:v>2</x:v>
      </x:c>
      <x:c r="E231" s="20" t="str"/>
      <x:c r="F231" s="20" t="str"/>
      <x:c r="G231" s="20" t="str"/>
      <x:c r="H231" s="20" t="str">
        <x:v>SLD_AND_SOURCE_RECONCILED</x:v>
      </x:c>
      <x:c r="I231" s="40" t="n">
        <x:v>0.7</x:v>
      </x:c>
      <x:c r="J231" s="20" t="str">
        <x:v>DRAFT</x:v>
      </x:c>
      <x:c r="K231" s="20" t="str"/>
      <x:c r="L231" s="20" t="str">
        <x:v>Terminal 2 of AC LINE PMR-C1</x:v>
      </x:c>
    </x:row>
    <x:row r="232">
      <x:c r="A232" s="20" t="str">
        <x:v>GIL-150-BAY-TRF1</x:v>
      </x:c>
      <x:c r="B232" s="20" t="str">
        <x:v>be4fda0c-6ecf-5cde-8865-f33fd304ae35</x:v>
      </x:c>
      <x:c r="C232" s="20" t="str">
        <x:v>Bay</x:v>
      </x:c>
      <x:c r="D232" s="20" t="str">
        <x:v>TRANSFORMER BAY TRF1 GILIMANUK</x:v>
      </x:c>
      <x:c r="E232" s="20" t="str">
        <x:v>GI GILIMANUK</x:v>
      </x:c>
      <x:c r="F232" s="20" t="n">
        <x:v>150</x:v>
      </x:c>
      <x:c r="G232" s="20" t="str">
        <x:v>TRF1</x:v>
      </x:c>
      <x:c r="H232" s="20" t="str">
        <x:v>SLD_DERIVED</x:v>
      </x:c>
      <x:c r="I232" s="40" t="n">
        <x:v>0.9</x:v>
      </x:c>
      <x:c r="J232" s="20" t="str">
        <x:v>DRAFT</x:v>
      </x:c>
      <x:c r="K232" s="20" t="str">
        <x:v>37322264-4ec7-4b79-99fe-43b2305729b3</x:v>
      </x:c>
      <x:c r="L232" s="20" t="str">
        <x:v>Canonical HV bay for TRF 1 GILIMANUK.</x:v>
      </x:c>
    </x:row>
    <x:row r="233">
      <x:c r="A233" s="20" t="str">
        <x:v>CN-GIL-TRF1-SELECT</x:v>
      </x:c>
      <x:c r="B233" s="20" t="str">
        <x:v>4aa3dcf5-374e-550c-9ef1-eeff9353ad1f</x:v>
      </x:c>
      <x:c r="C233" s="20" t="str">
        <x:v>ConnectivityNode</x:v>
      </x:c>
      <x:c r="D233" s="20" t="str">
        <x:v>TRF1 bus-selection node</x:v>
      </x:c>
      <x:c r="E233" s="20" t="str">
        <x:v>GI GILIMANUK</x:v>
      </x:c>
      <x:c r="F233" s="20" t="n">
        <x:v>150</x:v>
      </x:c>
      <x:c r="G233" s="20" t="str">
        <x:v>TRF1</x:v>
      </x:c>
      <x:c r="H233" s="20" t="str">
        <x:v>ASSUMED</x:v>
      </x:c>
      <x:c r="I233" s="40" t="n">
        <x:v>0.65</x:v>
      </x:c>
      <x:c r="J233" s="20" t="str">
        <x:v>DRAFT</x:v>
      </x:c>
      <x:c r="K233" s="20" t="str"/>
      <x:c r="L233" s="20" t="str">
        <x:v>Connectivity node TRF1 bus-selection node.</x:v>
      </x:c>
    </x:row>
    <x:row r="234">
      <x:c r="A234" s="20" t="str">
        <x:v>CN-GIL-TRF1-HV</x:v>
      </x:c>
      <x:c r="B234" s="20" t="str">
        <x:v>2dda4e0a-5da4-52b0-b675-eae62afdb7b7</x:v>
      </x:c>
      <x:c r="C234" s="20" t="str">
        <x:v>ConnectivityNode</x:v>
      </x:c>
      <x:c r="D234" s="20" t="str">
        <x:v>TRF1 HV terminal node</x:v>
      </x:c>
      <x:c r="E234" s="20" t="str">
        <x:v>GI GILIMANUK</x:v>
      </x:c>
      <x:c r="F234" s="20" t="n">
        <x:v>150</x:v>
      </x:c>
      <x:c r="G234" s="20" t="str">
        <x:v>TRF1</x:v>
      </x:c>
      <x:c r="H234" s="20" t="str">
        <x:v>SLD_DERIVED</x:v>
      </x:c>
      <x:c r="I234" s="40" t="n">
        <x:v>0.9</x:v>
      </x:c>
      <x:c r="J234" s="20" t="str">
        <x:v>DRAFT</x:v>
      </x:c>
      <x:c r="K234" s="20" t="str"/>
      <x:c r="L234" s="20" t="str">
        <x:v>Connectivity node TRF1 HV terminal node.</x:v>
      </x:c>
    </x:row>
    <x:row r="235">
      <x:c r="A235" s="20" t="str">
        <x:v>GIL-150-TRF1-DS-A</x:v>
      </x:c>
      <x:c r="B235" s="20" t="str">
        <x:v>b6c9a884-4071-55fc-89b1-bf71b3ce2fcd</x:v>
      </x:c>
      <x:c r="C235" s="20" t="str">
        <x:v>Disconnector</x:v>
      </x:c>
      <x:c r="D235" s="20" t="str">
        <x:v>DS BUS A TRF1</x:v>
      </x:c>
      <x:c r="E235" s="20" t="str">
        <x:v>GI GILIMANUK</x:v>
      </x:c>
      <x:c r="F235" s="20" t="n">
        <x:v>150</x:v>
      </x:c>
      <x:c r="G235" s="20" t="str">
        <x:v>TRF1</x:v>
      </x:c>
      <x:c r="H235" s="20" t="str">
        <x:v>ASSUMED</x:v>
      </x:c>
      <x:c r="I235" s="40" t="n">
        <x:v>0.65</x:v>
      </x:c>
      <x:c r="J235" s="20" t="str">
        <x:v>DRAFT</x:v>
      </x:c>
      <x:c r="K235" s="20" t="str"/>
      <x:c r="L235" s="20" t="str">
        <x:v>Provisional bus-A selector disconnector for transformer bay.</x:v>
      </x:c>
    </x:row>
    <x:row r="236">
      <x:c r="A236" s="20" t="str">
        <x:v>DS::GIL::TRF1::BUS-A-T1</x:v>
      </x:c>
      <x:c r="B236" s="20" t="str">
        <x:v>bdd172e1-a7f5-5fd1-86e7-6b1c9618cbc3</x:v>
      </x:c>
      <x:c r="C236" s="20" t="str">
        <x:v>Terminal</x:v>
      </x:c>
      <x:c r="D236" s="20" t="str">
        <x:v>1</x:v>
      </x:c>
      <x:c r="E236" s="20" t="str"/>
      <x:c r="F236" s="20" t="str"/>
      <x:c r="G236" s="20" t="str"/>
      <x:c r="H236" s="20" t="str">
        <x:v>ASSUMED</x:v>
      </x:c>
      <x:c r="I236" s="40" t="n">
        <x:v>0.65</x:v>
      </x:c>
      <x:c r="J236" s="20" t="str">
        <x:v>DRAFT</x:v>
      </x:c>
      <x:c r="K236" s="20" t="str"/>
      <x:c r="L236" s="20" t="str">
        <x:v>Terminal 1 of DS BUS A TRF1</x:v>
      </x:c>
    </x:row>
    <x:row r="237">
      <x:c r="A237" s="20" t="str">
        <x:v>DS::GIL::TRF1::BUS-A-T2</x:v>
      </x:c>
      <x:c r="B237" s="20" t="str">
        <x:v>4cca2fd1-fc97-5e4a-8c80-1a42a3c72f8f</x:v>
      </x:c>
      <x:c r="C237" s="20" t="str">
        <x:v>Terminal</x:v>
      </x:c>
      <x:c r="D237" s="20" t="str">
        <x:v>2</x:v>
      </x:c>
      <x:c r="E237" s="20" t="str"/>
      <x:c r="F237" s="20" t="str"/>
      <x:c r="G237" s="20" t="str"/>
      <x:c r="H237" s="20" t="str">
        <x:v>ASSUMED</x:v>
      </x:c>
      <x:c r="I237" s="40" t="n">
        <x:v>0.65</x:v>
      </x:c>
      <x:c r="J237" s="20" t="str">
        <x:v>DRAFT</x:v>
      </x:c>
      <x:c r="K237" s="20" t="str"/>
      <x:c r="L237" s="20" t="str">
        <x:v>Terminal 2 of DS BUS A TRF1</x:v>
      </x:c>
    </x:row>
    <x:row r="238">
      <x:c r="A238" s="20" t="str">
        <x:v>GIL-150-TRF1-DS-B</x:v>
      </x:c>
      <x:c r="B238" s="20" t="str">
        <x:v>2fbc4b33-8b25-54a6-ab0f-36c090694cf9</x:v>
      </x:c>
      <x:c r="C238" s="20" t="str">
        <x:v>Disconnector</x:v>
      </x:c>
      <x:c r="D238" s="20" t="str">
        <x:v>DS BUS B TRF1</x:v>
      </x:c>
      <x:c r="E238" s="20" t="str">
        <x:v>GI GILIMANUK</x:v>
      </x:c>
      <x:c r="F238" s="20" t="n">
        <x:v>150</x:v>
      </x:c>
      <x:c r="G238" s="20" t="str">
        <x:v>TRF1</x:v>
      </x:c>
      <x:c r="H238" s="20" t="str">
        <x:v>ASSUMED</x:v>
      </x:c>
      <x:c r="I238" s="40" t="n">
        <x:v>0.65</x:v>
      </x:c>
      <x:c r="J238" s="20" t="str">
        <x:v>DRAFT</x:v>
      </x:c>
      <x:c r="K238" s="20" t="str"/>
      <x:c r="L238" s="20" t="str">
        <x:v>Provisional bus-B selector disconnector for transformer bay.</x:v>
      </x:c>
    </x:row>
    <x:row r="239">
      <x:c r="A239" s="20" t="str">
        <x:v>DS::GIL::TRF1::BUS-B-T1</x:v>
      </x:c>
      <x:c r="B239" s="20" t="str">
        <x:v>ae31544c-31cc-503c-a2c0-7e26d957c3e7</x:v>
      </x:c>
      <x:c r="C239" s="20" t="str">
        <x:v>Terminal</x:v>
      </x:c>
      <x:c r="D239" s="20" t="str">
        <x:v>1</x:v>
      </x:c>
      <x:c r="E239" s="20" t="str"/>
      <x:c r="F239" s="20" t="str"/>
      <x:c r="G239" s="20" t="str"/>
      <x:c r="H239" s="20" t="str">
        <x:v>ASSUMED</x:v>
      </x:c>
      <x:c r="I239" s="40" t="n">
        <x:v>0.65</x:v>
      </x:c>
      <x:c r="J239" s="20" t="str">
        <x:v>DRAFT</x:v>
      </x:c>
      <x:c r="K239" s="20" t="str"/>
      <x:c r="L239" s="20" t="str">
        <x:v>Terminal 1 of DS BUS B TRF1</x:v>
      </x:c>
    </x:row>
    <x:row r="240">
      <x:c r="A240" s="20" t="str">
        <x:v>DS::GIL::TRF1::BUS-B-T2</x:v>
      </x:c>
      <x:c r="B240" s="20" t="str">
        <x:v>e87364b3-ea8c-529c-b3a4-e87264f31ddd</x:v>
      </x:c>
      <x:c r="C240" s="20" t="str">
        <x:v>Terminal</x:v>
      </x:c>
      <x:c r="D240" s="20" t="str">
        <x:v>2</x:v>
      </x:c>
      <x:c r="E240" s="20" t="str"/>
      <x:c r="F240" s="20" t="str"/>
      <x:c r="G240" s="20" t="str"/>
      <x:c r="H240" s="20" t="str">
        <x:v>ASSUMED</x:v>
      </x:c>
      <x:c r="I240" s="40" t="n">
        <x:v>0.65</x:v>
      </x:c>
      <x:c r="J240" s="20" t="str">
        <x:v>DRAFT</x:v>
      </x:c>
      <x:c r="K240" s="20" t="str"/>
      <x:c r="L240" s="20" t="str">
        <x:v>Terminal 2 of DS BUS B TRF1</x:v>
      </x:c>
    </x:row>
    <x:row r="241">
      <x:c r="A241" s="20" t="str">
        <x:v>GIL-150-TRF1-CB</x:v>
      </x:c>
      <x:c r="B241" s="20" t="str">
        <x:v>7986bbda-e1a4-5403-90ba-f7e63c20c6f8</x:v>
      </x:c>
      <x:c r="C241" s="20" t="str">
        <x:v>Breaker</x:v>
      </x:c>
      <x:c r="D241" s="20" t="str">
        <x:v>CB TRF1</x:v>
      </x:c>
      <x:c r="E241" s="20" t="str">
        <x:v>GI GILIMANUK</x:v>
      </x:c>
      <x:c r="F241" s="20" t="n">
        <x:v>150</x:v>
      </x:c>
      <x:c r="G241" s="20" t="str">
        <x:v>TRF1</x:v>
      </x:c>
      <x:c r="H241" s="20" t="str">
        <x:v>ASSUMED</x:v>
      </x:c>
      <x:c r="I241" s="40" t="n">
        <x:v>0.7</x:v>
      </x:c>
      <x:c r="J241" s="20" t="str">
        <x:v>DRAFT</x:v>
      </x:c>
      <x:c r="K241" s="20" t="str"/>
      <x:c r="L241" s="20" t="str">
        <x:v>Provisional circuit breaker for transformer bay.</x:v>
      </x:c>
    </x:row>
    <x:row r="242">
      <x:c r="A242" s="20" t="str">
        <x:v>CB::GIL::TRF1-T1</x:v>
      </x:c>
      <x:c r="B242" s="20" t="str">
        <x:v>e08add5b-97f7-578e-bae8-56416cef5e79</x:v>
      </x:c>
      <x:c r="C242" s="20" t="str">
        <x:v>Terminal</x:v>
      </x:c>
      <x:c r="D242" s="20" t="str">
        <x:v>1</x:v>
      </x:c>
      <x:c r="E242" s="20" t="str"/>
      <x:c r="F242" s="20" t="str"/>
      <x:c r="G242" s="20" t="str"/>
      <x:c r="H242" s="20" t="str">
        <x:v>ASSUMED</x:v>
      </x:c>
      <x:c r="I242" s="40" t="n">
        <x:v>0.7</x:v>
      </x:c>
      <x:c r="J242" s="20" t="str">
        <x:v>DRAFT</x:v>
      </x:c>
      <x:c r="K242" s="20" t="str"/>
      <x:c r="L242" s="20" t="str">
        <x:v>Terminal 1 of CB TRF1</x:v>
      </x:c>
    </x:row>
    <x:row r="243">
      <x:c r="A243" s="20" t="str">
        <x:v>CB::GIL::TRF1-T2</x:v>
      </x:c>
      <x:c r="B243" s="20" t="str">
        <x:v>e4caa703-b1c8-5828-940c-94216ee639b1</x:v>
      </x:c>
      <x:c r="C243" s="20" t="str">
        <x:v>Terminal</x:v>
      </x:c>
      <x:c r="D243" s="20" t="str">
        <x:v>2</x:v>
      </x:c>
      <x:c r="E243" s="20" t="str"/>
      <x:c r="F243" s="20" t="str"/>
      <x:c r="G243" s="20" t="str"/>
      <x:c r="H243" s="20" t="str">
        <x:v>ASSUMED</x:v>
      </x:c>
      <x:c r="I243" s="40" t="n">
        <x:v>0.7</x:v>
      </x:c>
      <x:c r="J243" s="20" t="str">
        <x:v>DRAFT</x:v>
      </x:c>
      <x:c r="K243" s="20" t="str"/>
      <x:c r="L243" s="20" t="str">
        <x:v>Terminal 2 of CB TRF1</x:v>
      </x:c>
    </x:row>
    <x:row r="244">
      <x:c r="A244" s="20" t="str">
        <x:v>CN-GIL-TRF1-CB-OUT</x:v>
      </x:c>
      <x:c r="B244" s="20" t="str">
        <x:v>6107376d-d629-50ad-87e2-861840871db5</x:v>
      </x:c>
      <x:c r="C244" s="20" t="str">
        <x:v>ConnectivityNode</x:v>
      </x:c>
      <x:c r="D244" s="20" t="str">
        <x:v>TRF1 CB output node</x:v>
      </x:c>
      <x:c r="E244" s="20" t="str">
        <x:v>GI GILIMANUK</x:v>
      </x:c>
      <x:c r="F244" s="20" t="n">
        <x:v>150</x:v>
      </x:c>
      <x:c r="G244" s="20" t="str">
        <x:v>TRF1</x:v>
      </x:c>
      <x:c r="H244" s="20" t="str">
        <x:v>ASSUMED</x:v>
      </x:c>
      <x:c r="I244" s="40" t="n">
        <x:v>0.65</x:v>
      </x:c>
      <x:c r="J244" s="20" t="str">
        <x:v>DRAFT</x:v>
      </x:c>
      <x:c r="K244" s="20" t="str"/>
      <x:c r="L244" s="20" t="str">
        <x:v>Connectivity node TRF1 CB output node.</x:v>
      </x:c>
    </x:row>
    <x:row r="245">
      <x:c r="A245" s="20" t="str">
        <x:v>GIL-150-TRF1-DS-TRF</x:v>
      </x:c>
      <x:c r="B245" s="20" t="str">
        <x:v>a510531e-5709-5651-a60d-027552401371</x:v>
      </x:c>
      <x:c r="C245" s="20" t="str">
        <x:v>Disconnector</x:v>
      </x:c>
      <x:c r="D245" s="20" t="str">
        <x:v>DS TRANSFORMER TRF1</x:v>
      </x:c>
      <x:c r="E245" s="20" t="str">
        <x:v>GI GILIMANUK</x:v>
      </x:c>
      <x:c r="F245" s="20" t="n">
        <x:v>150</x:v>
      </x:c>
      <x:c r="G245" s="20" t="str">
        <x:v>TRF1</x:v>
      </x:c>
      <x:c r="H245" s="20" t="str">
        <x:v>ASSUMED</x:v>
      </x:c>
      <x:c r="I245" s="40" t="n">
        <x:v>0.65</x:v>
      </x:c>
      <x:c r="J245" s="20" t="str">
        <x:v>DRAFT</x:v>
      </x:c>
      <x:c r="K245" s="20" t="str"/>
      <x:c r="L245" s="20" t="str">
        <x:v>Provisional transformer-side disconnector.</x:v>
      </x:c>
    </x:row>
    <x:row r="246">
      <x:c r="A246" s="20" t="str">
        <x:v>DS::GIL::TRF1::TRF-T1</x:v>
      </x:c>
      <x:c r="B246" s="20" t="str">
        <x:v>2ddd9879-bcb7-5653-982b-20c520e3c07e</x:v>
      </x:c>
      <x:c r="C246" s="20" t="str">
        <x:v>Terminal</x:v>
      </x:c>
      <x:c r="D246" s="20" t="str">
        <x:v>1</x:v>
      </x:c>
      <x:c r="E246" s="20" t="str"/>
      <x:c r="F246" s="20" t="str"/>
      <x:c r="G246" s="20" t="str"/>
      <x:c r="H246" s="20" t="str">
        <x:v>ASSUMED</x:v>
      </x:c>
      <x:c r="I246" s="40" t="n">
        <x:v>0.65</x:v>
      </x:c>
      <x:c r="J246" s="20" t="str">
        <x:v>DRAFT</x:v>
      </x:c>
      <x:c r="K246" s="20" t="str"/>
      <x:c r="L246" s="20" t="str">
        <x:v>Terminal 1 of DS TRANSFORMER TRF1</x:v>
      </x:c>
    </x:row>
    <x:row r="247">
      <x:c r="A247" s="20" t="str">
        <x:v>DS::GIL::TRF1::TRF-T2</x:v>
      </x:c>
      <x:c r="B247" s="20" t="str">
        <x:v>b59bd1f0-4f32-510a-b019-ae7e51b66b76</x:v>
      </x:c>
      <x:c r="C247" s="20" t="str">
        <x:v>Terminal</x:v>
      </x:c>
      <x:c r="D247" s="20" t="str">
        <x:v>2</x:v>
      </x:c>
      <x:c r="E247" s="20" t="str"/>
      <x:c r="F247" s="20" t="str"/>
      <x:c r="G247" s="20" t="str"/>
      <x:c r="H247" s="20" t="str">
        <x:v>ASSUMED</x:v>
      </x:c>
      <x:c r="I247" s="40" t="n">
        <x:v>0.65</x:v>
      </x:c>
      <x:c r="J247" s="20" t="str">
        <x:v>DRAFT</x:v>
      </x:c>
      <x:c r="K247" s="20" t="str"/>
      <x:c r="L247" s="20" t="str">
        <x:v>Terminal 2 of DS TRANSFORMER TRF1</x:v>
      </x:c>
    </x:row>
    <x:row r="248">
      <x:c r="A248" s="20" t="str">
        <x:v>GIL-TRF1-150-20</x:v>
      </x:c>
      <x:c r="B248" s="20" t="str">
        <x:v>d436487a-d485-5588-a615-56568b320c55</x:v>
      </x:c>
      <x:c r="C248" s="20" t="str">
        <x:v>PowerTransformer</x:v>
      </x:c>
      <x:c r="D248" s="20" t="str">
        <x:v>TRF 1 GILIMANUK</x:v>
      </x:c>
      <x:c r="E248" s="20" t="str">
        <x:v>GI GILIMANUK</x:v>
      </x:c>
      <x:c r="F248" s="20" t="n">
        <x:v>150</x:v>
      </x:c>
      <x:c r="G248" s="20" t="str">
        <x:v>TRF1</x:v>
      </x:c>
      <x:c r="H248" s="20" t="str">
        <x:v>SLD_AND_SOURCE_RECONCILED</x:v>
      </x:c>
      <x:c r="I248" s="40" t="n">
        <x:v>0.9</x:v>
      </x:c>
      <x:c r="J248" s="20" t="str">
        <x:v>DRAFT</x:v>
      </x:c>
      <x:c r="K248" s="20" t="str">
        <x:v>37322264-4ec7-4b79-99fe-43b2305729b3</x:v>
      </x:c>
      <x:c r="L248" s="20" t="str">
        <x:v>Canonical 150/20 kV transformer, rated 30.0 MVA.</x:v>
      </x:c>
    </x:row>
    <x:row r="249">
      <x:c r="A249" s="20" t="str">
        <x:v>TRF::TRF1-T1</x:v>
      </x:c>
      <x:c r="B249" s="20" t="str">
        <x:v>9f962448-7f33-5d3f-926d-598cb14b40d0</x:v>
      </x:c>
      <x:c r="C249" s="20" t="str">
        <x:v>Terminal</x:v>
      </x:c>
      <x:c r="D249" s="20" t="str">
        <x:v>1</x:v>
      </x:c>
      <x:c r="E249" s="20" t="str"/>
      <x:c r="F249" s="20" t="str"/>
      <x:c r="G249" s="20" t="str"/>
      <x:c r="H249" s="20" t="str">
        <x:v>SLD_AND_SOURCE_RECONCILED</x:v>
      </x:c>
      <x:c r="I249" s="40" t="n">
        <x:v>0.9</x:v>
      </x:c>
      <x:c r="J249" s="20" t="str">
        <x:v>DRAFT</x:v>
      </x:c>
      <x:c r="K249" s="20" t="str"/>
      <x:c r="L249" s="20" t="str">
        <x:v>Terminal 1 of TRF 1 GILIMANUK</x:v>
      </x:c>
    </x:row>
    <x:row r="250">
      <x:c r="A250" s="20" t="str">
        <x:v>TRF::TRF1-T2</x:v>
      </x:c>
      <x:c r="B250" s="20" t="str">
        <x:v>d210b861-4e80-5b4c-a1e0-2e92d3e17e8c</x:v>
      </x:c>
      <x:c r="C250" s="20" t="str">
        <x:v>Terminal</x:v>
      </x:c>
      <x:c r="D250" s="20" t="str">
        <x:v>2</x:v>
      </x:c>
      <x:c r="E250" s="20" t="str"/>
      <x:c r="F250" s="20" t="str"/>
      <x:c r="G250" s="20" t="str"/>
      <x:c r="H250" s="20" t="str">
        <x:v>SLD_AND_SOURCE_RECONCILED</x:v>
      </x:c>
      <x:c r="I250" s="40" t="n">
        <x:v>0.9</x:v>
      </x:c>
      <x:c r="J250" s="20" t="str">
        <x:v>DRAFT</x:v>
      </x:c>
      <x:c r="K250" s="20" t="str"/>
      <x:c r="L250" s="20" t="str">
        <x:v>Terminal 2 of TRF 1 GILIMANUK</x:v>
      </x:c>
    </x:row>
    <x:row r="251">
      <x:c r="A251" s="20" t="str">
        <x:v>GIL-TRF1-END-1</x:v>
      </x:c>
      <x:c r="B251" s="20" t="str">
        <x:v>9dc350e1-b19f-5325-9104-5a7dee7a7854</x:v>
      </x:c>
      <x:c r="C251" s="20" t="str">
        <x:v>PowerTransformerEnd</x:v>
      </x:c>
      <x:c r="D251" s="20" t="str">
        <x:v>TRF 1 GILIMANUK END 1</x:v>
      </x:c>
      <x:c r="E251" s="20" t="str">
        <x:v>GI GILIMANUK</x:v>
      </x:c>
      <x:c r="F251" s="20" t="n">
        <x:v>150</x:v>
      </x:c>
      <x:c r="G251" s="20" t="str">
        <x:v>TRF1</x:v>
      </x:c>
      <x:c r="H251" s="20" t="str">
        <x:v>SLD_DERIVED</x:v>
      </x:c>
      <x:c r="I251" s="40" t="n">
        <x:v>0.9</x:v>
      </x:c>
      <x:c r="J251" s="20" t="str">
        <x:v>DRAFT</x:v>
      </x:c>
      <x:c r="K251" s="20" t="str"/>
      <x:c r="L251" s="20" t="str">
        <x:v>Transformer end 1, rated 150.0 kV and 30.0 MVA.</x:v>
      </x:c>
    </x:row>
    <x:row r="252">
      <x:c r="A252" s="20" t="str">
        <x:v>GIL-TRF1-END-2</x:v>
      </x:c>
      <x:c r="B252" s="20" t="str">
        <x:v>de4096e3-bc80-50bb-ab58-2a2df2262e6c</x:v>
      </x:c>
      <x:c r="C252" s="20" t="str">
        <x:v>PowerTransformerEnd</x:v>
      </x:c>
      <x:c r="D252" s="20" t="str">
        <x:v>TRF 1 GILIMANUK END 2</x:v>
      </x:c>
      <x:c r="E252" s="20" t="str">
        <x:v>GI GILIMANUK</x:v>
      </x:c>
      <x:c r="F252" s="20" t="n">
        <x:v>20</x:v>
      </x:c>
      <x:c r="G252" s="20" t="str">
        <x:v>TRF1</x:v>
      </x:c>
      <x:c r="H252" s="20" t="str">
        <x:v>SLD_DERIVED</x:v>
      </x:c>
      <x:c r="I252" s="40" t="n">
        <x:v>0.9</x:v>
      </x:c>
      <x:c r="J252" s="20" t="str">
        <x:v>DRAFT</x:v>
      </x:c>
      <x:c r="K252" s="20" t="str"/>
      <x:c r="L252" s="20" t="str">
        <x:v>Transformer end 2, rated 20.0 kV and 30.0 MVA.</x:v>
      </x:c>
    </x:row>
    <x:row r="253">
      <x:c r="A253" s="20" t="str">
        <x:v>GIL-150-BAY-TRF2</x:v>
      </x:c>
      <x:c r="B253" s="20" t="str">
        <x:v>7356ea7a-034f-56a3-beb2-68d394c656c1</x:v>
      </x:c>
      <x:c r="C253" s="20" t="str">
        <x:v>Bay</x:v>
      </x:c>
      <x:c r="D253" s="20" t="str">
        <x:v>TRANSFORMER BAY TRF2 GILIMANUK</x:v>
      </x:c>
      <x:c r="E253" s="20" t="str">
        <x:v>GI GILIMANUK</x:v>
      </x:c>
      <x:c r="F253" s="20" t="n">
        <x:v>150</x:v>
      </x:c>
      <x:c r="G253" s="20" t="str">
        <x:v>TRF2</x:v>
      </x:c>
      <x:c r="H253" s="20" t="str">
        <x:v>SLD_DERIVED</x:v>
      </x:c>
      <x:c r="I253" s="40" t="n">
        <x:v>0.85</x:v>
      </x:c>
      <x:c r="J253" s="20" t="str">
        <x:v>DRAFT</x:v>
      </x:c>
      <x:c r="K253" s="20" t="str">
        <x:v>6411bb55-7062-49c5-84a4-329a52ec61ee</x:v>
      </x:c>
      <x:c r="L253" s="20" t="str">
        <x:v>Canonical HV bay for TRF 2 GILIMANUK.</x:v>
      </x:c>
    </x:row>
    <x:row r="254">
      <x:c r="A254" s="20" t="str">
        <x:v>CN-GIL-TRF2-SELECT</x:v>
      </x:c>
      <x:c r="B254" s="20" t="str">
        <x:v>eccb3a2b-c131-5614-b8c9-baa6ad2f90a4</x:v>
      </x:c>
      <x:c r="C254" s="20" t="str">
        <x:v>ConnectivityNode</x:v>
      </x:c>
      <x:c r="D254" s="20" t="str">
        <x:v>TRF2 bus-selection node</x:v>
      </x:c>
      <x:c r="E254" s="20" t="str">
        <x:v>GI GILIMANUK</x:v>
      </x:c>
      <x:c r="F254" s="20" t="n">
        <x:v>150</x:v>
      </x:c>
      <x:c r="G254" s="20" t="str">
        <x:v>TRF2</x:v>
      </x:c>
      <x:c r="H254" s="20" t="str">
        <x:v>ASSUMED</x:v>
      </x:c>
      <x:c r="I254" s="40" t="n">
        <x:v>0.65</x:v>
      </x:c>
      <x:c r="J254" s="20" t="str">
        <x:v>DRAFT</x:v>
      </x:c>
      <x:c r="K254" s="20" t="str"/>
      <x:c r="L254" s="20" t="str">
        <x:v>Connectivity node TRF2 bus-selection node.</x:v>
      </x:c>
    </x:row>
    <x:row r="255">
      <x:c r="A255" s="20" t="str">
        <x:v>CN-GIL-TRF2-HV</x:v>
      </x:c>
      <x:c r="B255" s="20" t="str">
        <x:v>748c7bf3-e20c-59f7-9610-cbd6ba09beac</x:v>
      </x:c>
      <x:c r="C255" s="20" t="str">
        <x:v>ConnectivityNode</x:v>
      </x:c>
      <x:c r="D255" s="20" t="str">
        <x:v>TRF2 HV terminal node</x:v>
      </x:c>
      <x:c r="E255" s="20" t="str">
        <x:v>GI GILIMANUK</x:v>
      </x:c>
      <x:c r="F255" s="20" t="n">
        <x:v>150</x:v>
      </x:c>
      <x:c r="G255" s="20" t="str">
        <x:v>TRF2</x:v>
      </x:c>
      <x:c r="H255" s="20" t="str">
        <x:v>SLD_DERIVED</x:v>
      </x:c>
      <x:c r="I255" s="40" t="n">
        <x:v>0.85</x:v>
      </x:c>
      <x:c r="J255" s="20" t="str">
        <x:v>DRAFT</x:v>
      </x:c>
      <x:c r="K255" s="20" t="str"/>
      <x:c r="L255" s="20" t="str">
        <x:v>Connectivity node TRF2 HV terminal node.</x:v>
      </x:c>
    </x:row>
    <x:row r="256">
      <x:c r="A256" s="20" t="str">
        <x:v>GIL-150-TRF2-DS-A</x:v>
      </x:c>
      <x:c r="B256" s="20" t="str">
        <x:v>badbd551-76ec-5eed-9db2-724494408f59</x:v>
      </x:c>
      <x:c r="C256" s="20" t="str">
        <x:v>Disconnector</x:v>
      </x:c>
      <x:c r="D256" s="20" t="str">
        <x:v>DS BUS A TRF2</x:v>
      </x:c>
      <x:c r="E256" s="20" t="str">
        <x:v>GI GILIMANUK</x:v>
      </x:c>
      <x:c r="F256" s="20" t="n">
        <x:v>150</x:v>
      </x:c>
      <x:c r="G256" s="20" t="str">
        <x:v>TRF2</x:v>
      </x:c>
      <x:c r="H256" s="20" t="str">
        <x:v>ASSUMED</x:v>
      </x:c>
      <x:c r="I256" s="40" t="n">
        <x:v>0.65</x:v>
      </x:c>
      <x:c r="J256" s="20" t="str">
        <x:v>DRAFT</x:v>
      </x:c>
      <x:c r="K256" s="20" t="str"/>
      <x:c r="L256" s="20" t="str">
        <x:v>Provisional bus-A selector disconnector for transformer bay.</x:v>
      </x:c>
    </x:row>
    <x:row r="257">
      <x:c r="A257" s="20" t="str">
        <x:v>DS::GIL::TRF2::BUS-A-T1</x:v>
      </x:c>
      <x:c r="B257" s="20" t="str">
        <x:v>a786d1ac-0ec3-5b82-b0e0-a1d17c136300</x:v>
      </x:c>
      <x:c r="C257" s="20" t="str">
        <x:v>Terminal</x:v>
      </x:c>
      <x:c r="D257" s="20" t="str">
        <x:v>1</x:v>
      </x:c>
      <x:c r="E257" s="20" t="str"/>
      <x:c r="F257" s="20" t="str"/>
      <x:c r="G257" s="20" t="str"/>
      <x:c r="H257" s="20" t="str">
        <x:v>ASSUMED</x:v>
      </x:c>
      <x:c r="I257" s="40" t="n">
        <x:v>0.65</x:v>
      </x:c>
      <x:c r="J257" s="20" t="str">
        <x:v>DRAFT</x:v>
      </x:c>
      <x:c r="K257" s="20" t="str"/>
      <x:c r="L257" s="20" t="str">
        <x:v>Terminal 1 of DS BUS A TRF2</x:v>
      </x:c>
    </x:row>
    <x:row r="258">
      <x:c r="A258" s="20" t="str">
        <x:v>DS::GIL::TRF2::BUS-A-T2</x:v>
      </x:c>
      <x:c r="B258" s="20" t="str">
        <x:v>63dde6bd-25b2-5d08-b6fe-0c880f174f89</x:v>
      </x:c>
      <x:c r="C258" s="20" t="str">
        <x:v>Terminal</x:v>
      </x:c>
      <x:c r="D258" s="20" t="str">
        <x:v>2</x:v>
      </x:c>
      <x:c r="E258" s="20" t="str"/>
      <x:c r="F258" s="20" t="str"/>
      <x:c r="G258" s="20" t="str"/>
      <x:c r="H258" s="20" t="str">
        <x:v>ASSUMED</x:v>
      </x:c>
      <x:c r="I258" s="40" t="n">
        <x:v>0.65</x:v>
      </x:c>
      <x:c r="J258" s="20" t="str">
        <x:v>DRAFT</x:v>
      </x:c>
      <x:c r="K258" s="20" t="str"/>
      <x:c r="L258" s="20" t="str">
        <x:v>Terminal 2 of DS BUS A TRF2</x:v>
      </x:c>
    </x:row>
    <x:row r="259">
      <x:c r="A259" s="20" t="str">
        <x:v>GIL-150-TRF2-DS-B</x:v>
      </x:c>
      <x:c r="B259" s="20" t="str">
        <x:v>1a06b632-c973-50a2-81f8-55e9c55bcca3</x:v>
      </x:c>
      <x:c r="C259" s="20" t="str">
        <x:v>Disconnector</x:v>
      </x:c>
      <x:c r="D259" s="20" t="str">
        <x:v>DS BUS B TRF2</x:v>
      </x:c>
      <x:c r="E259" s="20" t="str">
        <x:v>GI GILIMANUK</x:v>
      </x:c>
      <x:c r="F259" s="20" t="n">
        <x:v>150</x:v>
      </x:c>
      <x:c r="G259" s="20" t="str">
        <x:v>TRF2</x:v>
      </x:c>
      <x:c r="H259" s="20" t="str">
        <x:v>ASSUMED</x:v>
      </x:c>
      <x:c r="I259" s="40" t="n">
        <x:v>0.65</x:v>
      </x:c>
      <x:c r="J259" s="20" t="str">
        <x:v>DRAFT</x:v>
      </x:c>
      <x:c r="K259" s="20" t="str"/>
      <x:c r="L259" s="20" t="str">
        <x:v>Provisional bus-B selector disconnector for transformer bay.</x:v>
      </x:c>
    </x:row>
    <x:row r="260">
      <x:c r="A260" s="20" t="str">
        <x:v>DS::GIL::TRF2::BUS-B-T1</x:v>
      </x:c>
      <x:c r="B260" s="20" t="str">
        <x:v>4621330d-0fbb-58a8-b353-622fb0a984e0</x:v>
      </x:c>
      <x:c r="C260" s="20" t="str">
        <x:v>Terminal</x:v>
      </x:c>
      <x:c r="D260" s="20" t="str">
        <x:v>1</x:v>
      </x:c>
      <x:c r="E260" s="20" t="str"/>
      <x:c r="F260" s="20" t="str"/>
      <x:c r="G260" s="20" t="str"/>
      <x:c r="H260" s="20" t="str">
        <x:v>ASSUMED</x:v>
      </x:c>
      <x:c r="I260" s="40" t="n">
        <x:v>0.65</x:v>
      </x:c>
      <x:c r="J260" s="20" t="str">
        <x:v>DRAFT</x:v>
      </x:c>
      <x:c r="K260" s="20" t="str"/>
      <x:c r="L260" s="20" t="str">
        <x:v>Terminal 1 of DS BUS B TRF2</x:v>
      </x:c>
    </x:row>
    <x:row r="261">
      <x:c r="A261" s="20" t="str">
        <x:v>DS::GIL::TRF2::BUS-B-T2</x:v>
      </x:c>
      <x:c r="B261" s="20" t="str">
        <x:v>56f59d32-042c-5619-9b2f-9f07c6e3696d</x:v>
      </x:c>
      <x:c r="C261" s="20" t="str">
        <x:v>Terminal</x:v>
      </x:c>
      <x:c r="D261" s="20" t="str">
        <x:v>2</x:v>
      </x:c>
      <x:c r="E261" s="20" t="str"/>
      <x:c r="F261" s="20" t="str"/>
      <x:c r="G261" s="20" t="str"/>
      <x:c r="H261" s="20" t="str">
        <x:v>ASSUMED</x:v>
      </x:c>
      <x:c r="I261" s="40" t="n">
        <x:v>0.65</x:v>
      </x:c>
      <x:c r="J261" s="20" t="str">
        <x:v>DRAFT</x:v>
      </x:c>
      <x:c r="K261" s="20" t="str"/>
      <x:c r="L261" s="20" t="str">
        <x:v>Terminal 2 of DS BUS B TRF2</x:v>
      </x:c>
    </x:row>
    <x:row r="262">
      <x:c r="A262" s="20" t="str">
        <x:v>GIL-150-TRF2-CB</x:v>
      </x:c>
      <x:c r="B262" s="20" t="str">
        <x:v>3825a81b-ef67-5fbf-9e83-c11b18e1d8c3</x:v>
      </x:c>
      <x:c r="C262" s="20" t="str">
        <x:v>Breaker</x:v>
      </x:c>
      <x:c r="D262" s="20" t="str">
        <x:v>CB TRF2</x:v>
      </x:c>
      <x:c r="E262" s="20" t="str">
        <x:v>GI GILIMANUK</x:v>
      </x:c>
      <x:c r="F262" s="20" t="n">
        <x:v>150</x:v>
      </x:c>
      <x:c r="G262" s="20" t="str">
        <x:v>TRF2</x:v>
      </x:c>
      <x:c r="H262" s="20" t="str">
        <x:v>ASSUMED</x:v>
      </x:c>
      <x:c r="I262" s="40" t="n">
        <x:v>0.7</x:v>
      </x:c>
      <x:c r="J262" s="20" t="str">
        <x:v>DRAFT</x:v>
      </x:c>
      <x:c r="K262" s="20" t="str"/>
      <x:c r="L262" s="20" t="str">
        <x:v>Provisional circuit breaker for transformer bay.</x:v>
      </x:c>
    </x:row>
    <x:row r="263">
      <x:c r="A263" s="20" t="str">
        <x:v>CB::GIL::TRF2-T1</x:v>
      </x:c>
      <x:c r="B263" s="20" t="str">
        <x:v>2abc5b9f-e5e3-5b41-b5cb-f9387e42c5ca</x:v>
      </x:c>
      <x:c r="C263" s="20" t="str">
        <x:v>Terminal</x:v>
      </x:c>
      <x:c r="D263" s="20" t="str">
        <x:v>1</x:v>
      </x:c>
      <x:c r="E263" s="20" t="str"/>
      <x:c r="F263" s="20" t="str"/>
      <x:c r="G263" s="20" t="str"/>
      <x:c r="H263" s="20" t="str">
        <x:v>ASSUMED</x:v>
      </x:c>
      <x:c r="I263" s="40" t="n">
        <x:v>0.7</x:v>
      </x:c>
      <x:c r="J263" s="20" t="str">
        <x:v>DRAFT</x:v>
      </x:c>
      <x:c r="K263" s="20" t="str"/>
      <x:c r="L263" s="20" t="str">
        <x:v>Terminal 1 of CB TRF2</x:v>
      </x:c>
    </x:row>
    <x:row r="264">
      <x:c r="A264" s="20" t="str">
        <x:v>CB::GIL::TRF2-T2</x:v>
      </x:c>
      <x:c r="B264" s="20" t="str">
        <x:v>b175aaff-5a03-5e91-a949-b49cabb6b14c</x:v>
      </x:c>
      <x:c r="C264" s="20" t="str">
        <x:v>Terminal</x:v>
      </x:c>
      <x:c r="D264" s="20" t="str">
        <x:v>2</x:v>
      </x:c>
      <x:c r="E264" s="20" t="str"/>
      <x:c r="F264" s="20" t="str"/>
      <x:c r="G264" s="20" t="str"/>
      <x:c r="H264" s="20" t="str">
        <x:v>ASSUMED</x:v>
      </x:c>
      <x:c r="I264" s="40" t="n">
        <x:v>0.7</x:v>
      </x:c>
      <x:c r="J264" s="20" t="str">
        <x:v>DRAFT</x:v>
      </x:c>
      <x:c r="K264" s="20" t="str"/>
      <x:c r="L264" s="20" t="str">
        <x:v>Terminal 2 of CB TRF2</x:v>
      </x:c>
    </x:row>
    <x:row r="265">
      <x:c r="A265" s="20" t="str">
        <x:v>CN-GIL-TRF2-CB-OUT</x:v>
      </x:c>
      <x:c r="B265" s="20" t="str">
        <x:v>c609f1c2-7aed-5259-8158-6600848ed8c8</x:v>
      </x:c>
      <x:c r="C265" s="20" t="str">
        <x:v>ConnectivityNode</x:v>
      </x:c>
      <x:c r="D265" s="20" t="str">
        <x:v>TRF2 CB output node</x:v>
      </x:c>
      <x:c r="E265" s="20" t="str">
        <x:v>GI GILIMANUK</x:v>
      </x:c>
      <x:c r="F265" s="20" t="n">
        <x:v>150</x:v>
      </x:c>
      <x:c r="G265" s="20" t="str">
        <x:v>TRF2</x:v>
      </x:c>
      <x:c r="H265" s="20" t="str">
        <x:v>ASSUMED</x:v>
      </x:c>
      <x:c r="I265" s="40" t="n">
        <x:v>0.65</x:v>
      </x:c>
      <x:c r="J265" s="20" t="str">
        <x:v>DRAFT</x:v>
      </x:c>
      <x:c r="K265" s="20" t="str"/>
      <x:c r="L265" s="20" t="str">
        <x:v>Connectivity node TRF2 CB output node.</x:v>
      </x:c>
    </x:row>
    <x:row r="266">
      <x:c r="A266" s="20" t="str">
        <x:v>GIL-150-TRF2-DS-TRF</x:v>
      </x:c>
      <x:c r="B266" s="20" t="str">
        <x:v>f5e45207-b5a1-58d6-9b8c-79bb3cb3e676</x:v>
      </x:c>
      <x:c r="C266" s="20" t="str">
        <x:v>Disconnector</x:v>
      </x:c>
      <x:c r="D266" s="20" t="str">
        <x:v>DS TRANSFORMER TRF2</x:v>
      </x:c>
      <x:c r="E266" s="20" t="str">
        <x:v>GI GILIMANUK</x:v>
      </x:c>
      <x:c r="F266" s="20" t="n">
        <x:v>150</x:v>
      </x:c>
      <x:c r="G266" s="20" t="str">
        <x:v>TRF2</x:v>
      </x:c>
      <x:c r="H266" s="20" t="str">
        <x:v>ASSUMED</x:v>
      </x:c>
      <x:c r="I266" s="40" t="n">
        <x:v>0.65</x:v>
      </x:c>
      <x:c r="J266" s="20" t="str">
        <x:v>DRAFT</x:v>
      </x:c>
      <x:c r="K266" s="20" t="str"/>
      <x:c r="L266" s="20" t="str">
        <x:v>Provisional transformer-side disconnector.</x:v>
      </x:c>
    </x:row>
    <x:row r="267">
      <x:c r="A267" s="20" t="str">
        <x:v>DS::GIL::TRF2::TRF-T1</x:v>
      </x:c>
      <x:c r="B267" s="20" t="str">
        <x:v>6c63f6a6-9416-5200-a307-d220348cde01</x:v>
      </x:c>
      <x:c r="C267" s="20" t="str">
        <x:v>Terminal</x:v>
      </x:c>
      <x:c r="D267" s="20" t="str">
        <x:v>1</x:v>
      </x:c>
      <x:c r="E267" s="20" t="str"/>
      <x:c r="F267" s="20" t="str"/>
      <x:c r="G267" s="20" t="str"/>
      <x:c r="H267" s="20" t="str">
        <x:v>ASSUMED</x:v>
      </x:c>
      <x:c r="I267" s="40" t="n">
        <x:v>0.65</x:v>
      </x:c>
      <x:c r="J267" s="20" t="str">
        <x:v>DRAFT</x:v>
      </x:c>
      <x:c r="K267" s="20" t="str"/>
      <x:c r="L267" s="20" t="str">
        <x:v>Terminal 1 of DS TRANSFORMER TRF2</x:v>
      </x:c>
    </x:row>
    <x:row r="268">
      <x:c r="A268" s="20" t="str">
        <x:v>DS::GIL::TRF2::TRF-T2</x:v>
      </x:c>
      <x:c r="B268" s="20" t="str">
        <x:v>331f98b1-72c2-5660-afd1-98a01bbb4ffb</x:v>
      </x:c>
      <x:c r="C268" s="20" t="str">
        <x:v>Terminal</x:v>
      </x:c>
      <x:c r="D268" s="20" t="str">
        <x:v>2</x:v>
      </x:c>
      <x:c r="E268" s="20" t="str"/>
      <x:c r="F268" s="20" t="str"/>
      <x:c r="G268" s="20" t="str"/>
      <x:c r="H268" s="20" t="str">
        <x:v>ASSUMED</x:v>
      </x:c>
      <x:c r="I268" s="40" t="n">
        <x:v>0.65</x:v>
      </x:c>
      <x:c r="J268" s="20" t="str">
        <x:v>DRAFT</x:v>
      </x:c>
      <x:c r="K268" s="20" t="str"/>
      <x:c r="L268" s="20" t="str">
        <x:v>Terminal 2 of DS TRANSFORMER TRF2</x:v>
      </x:c>
    </x:row>
    <x:row r="269">
      <x:c r="A269" s="20" t="str">
        <x:v>GIL-TRF2-150-20</x:v>
      </x:c>
      <x:c r="B269" s="20" t="str">
        <x:v>134a27a1-cbdb-5976-885d-508b14b1735f</x:v>
      </x:c>
      <x:c r="C269" s="20" t="str">
        <x:v>PowerTransformer</x:v>
      </x:c>
      <x:c r="D269" s="20" t="str">
        <x:v>TRF 2 GILIMANUK</x:v>
      </x:c>
      <x:c r="E269" s="20" t="str">
        <x:v>GI GILIMANUK</x:v>
      </x:c>
      <x:c r="F269" s="20" t="n">
        <x:v>150</x:v>
      </x:c>
      <x:c r="G269" s="20" t="str">
        <x:v>TRF2</x:v>
      </x:c>
      <x:c r="H269" s="20" t="str">
        <x:v>SLD_AND_SOURCE_RECONCILED</x:v>
      </x:c>
      <x:c r="I269" s="40" t="n">
        <x:v>0.85</x:v>
      </x:c>
      <x:c r="J269" s="20" t="str">
        <x:v>DRAFT</x:v>
      </x:c>
      <x:c r="K269" s="20" t="str">
        <x:v>6411bb55-7062-49c5-84a4-329a52ec61ee</x:v>
      </x:c>
      <x:c r="L269" s="20" t="str">
        <x:v>Canonical 150/20 kV transformer, rated 60.0 MVA.</x:v>
      </x:c>
    </x:row>
    <x:row r="270">
      <x:c r="A270" s="20" t="str">
        <x:v>TRF::TRF2-T1</x:v>
      </x:c>
      <x:c r="B270" s="20" t="str">
        <x:v>a8b33507-9d5b-580e-ab6f-9d149d96e5e1</x:v>
      </x:c>
      <x:c r="C270" s="20" t="str">
        <x:v>Terminal</x:v>
      </x:c>
      <x:c r="D270" s="20" t="str">
        <x:v>1</x:v>
      </x:c>
      <x:c r="E270" s="20" t="str"/>
      <x:c r="F270" s="20" t="str"/>
      <x:c r="G270" s="20" t="str"/>
      <x:c r="H270" s="20" t="str">
        <x:v>SLD_AND_SOURCE_RECONCILED</x:v>
      </x:c>
      <x:c r="I270" s="40" t="n">
        <x:v>0.85</x:v>
      </x:c>
      <x:c r="J270" s="20" t="str">
        <x:v>DRAFT</x:v>
      </x:c>
      <x:c r="K270" s="20" t="str"/>
      <x:c r="L270" s="20" t="str">
        <x:v>Terminal 1 of TRF 2 GILIMANUK</x:v>
      </x:c>
    </x:row>
    <x:row r="271">
      <x:c r="A271" s="20" t="str">
        <x:v>TRF::TRF2-T2</x:v>
      </x:c>
      <x:c r="B271" s="20" t="str">
        <x:v>b48197cd-4797-5f09-a95c-9702b9d7ed2a</x:v>
      </x:c>
      <x:c r="C271" s="20" t="str">
        <x:v>Terminal</x:v>
      </x:c>
      <x:c r="D271" s="20" t="str">
        <x:v>2</x:v>
      </x:c>
      <x:c r="E271" s="20" t="str"/>
      <x:c r="F271" s="20" t="str"/>
      <x:c r="G271" s="20" t="str"/>
      <x:c r="H271" s="20" t="str">
        <x:v>SLD_AND_SOURCE_RECONCILED</x:v>
      </x:c>
      <x:c r="I271" s="40" t="n">
        <x:v>0.85</x:v>
      </x:c>
      <x:c r="J271" s="20" t="str">
        <x:v>DRAFT</x:v>
      </x:c>
      <x:c r="K271" s="20" t="str"/>
      <x:c r="L271" s="20" t="str">
        <x:v>Terminal 2 of TRF 2 GILIMANUK</x:v>
      </x:c>
    </x:row>
    <x:row r="272">
      <x:c r="A272" s="20" t="str">
        <x:v>GIL-TRF2-END-1</x:v>
      </x:c>
      <x:c r="B272" s="20" t="str">
        <x:v>4b1e011b-9859-5c53-832d-6e2c2d1e19f2</x:v>
      </x:c>
      <x:c r="C272" s="20" t="str">
        <x:v>PowerTransformerEnd</x:v>
      </x:c>
      <x:c r="D272" s="20" t="str">
        <x:v>TRF 2 GILIMANUK END 1</x:v>
      </x:c>
      <x:c r="E272" s="20" t="str">
        <x:v>GI GILIMANUK</x:v>
      </x:c>
      <x:c r="F272" s="20" t="n">
        <x:v>150</x:v>
      </x:c>
      <x:c r="G272" s="20" t="str">
        <x:v>TRF2</x:v>
      </x:c>
      <x:c r="H272" s="20" t="str">
        <x:v>SLD_DERIVED</x:v>
      </x:c>
      <x:c r="I272" s="40" t="n">
        <x:v>0.85</x:v>
      </x:c>
      <x:c r="J272" s="20" t="str">
        <x:v>DRAFT</x:v>
      </x:c>
      <x:c r="K272" s="20" t="str"/>
      <x:c r="L272" s="20" t="str">
        <x:v>Transformer end 1, rated 150.0 kV and 60.0 MVA.</x:v>
      </x:c>
    </x:row>
    <x:row r="273">
      <x:c r="A273" s="20" t="str">
        <x:v>GIL-TRF2-END-2</x:v>
      </x:c>
      <x:c r="B273" s="20" t="str">
        <x:v>668dfe60-0321-55e3-9ec9-b764fbe683d7</x:v>
      </x:c>
      <x:c r="C273" s="20" t="str">
        <x:v>PowerTransformerEnd</x:v>
      </x:c>
      <x:c r="D273" s="20" t="str">
        <x:v>TRF 2 GILIMANUK END 2</x:v>
      </x:c>
      <x:c r="E273" s="20" t="str">
        <x:v>GI GILIMANUK</x:v>
      </x:c>
      <x:c r="F273" s="20" t="n">
        <x:v>20</x:v>
      </x:c>
      <x:c r="G273" s="20" t="str">
        <x:v>TRF2</x:v>
      </x:c>
      <x:c r="H273" s="20" t="str">
        <x:v>SLD_DERIVED</x:v>
      </x:c>
      <x:c r="I273" s="40" t="n">
        <x:v>0.85</x:v>
      </x:c>
      <x:c r="J273" s="20" t="str">
        <x:v>DRAFT</x:v>
      </x:c>
      <x:c r="K273" s="20" t="str"/>
      <x:c r="L273" s="20" t="str">
        <x:v>Transformer end 2, rated 20.0 kV and 60.0 MVA.</x:v>
      </x:c>
    </x:row>
    <x:row r="274">
      <x:c r="A274" s="20" t="str">
        <x:v>GIL-150-BAY-GEN1</x:v>
      </x:c>
      <x:c r="B274" s="20" t="str">
        <x:v>a3508388-9e45-5417-8e50-6ffdc0bd88b8</x:v>
      </x:c>
      <x:c r="C274" s="20" t="str">
        <x:v>Bay</x:v>
      </x:c>
      <x:c r="D274" s="20" t="str">
        <x:v>GENERATOR BAY PLTG GILIMANUK</x:v>
      </x:c>
      <x:c r="E274" s="20" t="str">
        <x:v>GI GILIMANUK</x:v>
      </x:c>
      <x:c r="F274" s="20" t="n">
        <x:v>150</x:v>
      </x:c>
      <x:c r="G274" s="20" t="str">
        <x:v>GEN1</x:v>
      </x:c>
      <x:c r="H274" s="20" t="str">
        <x:v>SOURCE_AND_SLD_DERIVED</x:v>
      </x:c>
      <x:c r="I274" s="40" t="n">
        <x:v>0.6</x:v>
      </x:c>
      <x:c r="J274" s="20" t="str">
        <x:v>DRAFT</x:v>
      </x:c>
      <x:c r="K274" s="20" t="str">
        <x:v>7c45c7c6-0f7e-40c4-997f-2d4778ffde71; d75f92c9-4a91-46ea-bd84-42b2c435c61d</x:v>
      </x:c>
      <x:c r="L274" s="20" t="str">
        <x:v>Canonical generator connection bay. Detailed plant-side SLD was not supplied.</x:v>
      </x:c>
    </x:row>
    <x:row r="275">
      <x:c r="A275" s="20" t="str">
        <x:v>CN-GIL-GEN1-SELECT</x:v>
      </x:c>
      <x:c r="B275" s="20" t="str">
        <x:v>21261c24-d57e-5a8b-8f8f-2365e1daa923</x:v>
      </x:c>
      <x:c r="C275" s="20" t="str">
        <x:v>ConnectivityNode</x:v>
      </x:c>
      <x:c r="D275" s="20" t="str">
        <x:v>GEN1 bus-selection node</x:v>
      </x:c>
      <x:c r="E275" s="20" t="str">
        <x:v>GI GILIMANUK</x:v>
      </x:c>
      <x:c r="F275" s="20" t="n">
        <x:v>150</x:v>
      </x:c>
      <x:c r="G275" s="20" t="str">
        <x:v>GEN1</x:v>
      </x:c>
      <x:c r="H275" s="20" t="str">
        <x:v>ASSUMED</x:v>
      </x:c>
      <x:c r="I275" s="40" t="n">
        <x:v>0.55</x:v>
      </x:c>
      <x:c r="J275" s="20" t="str">
        <x:v>DRAFT</x:v>
      </x:c>
      <x:c r="K275" s="20" t="str"/>
      <x:c r="L275" s="20" t="str">
        <x:v>Connectivity node GEN1 bus-selection node.</x:v>
      </x:c>
    </x:row>
    <x:row r="276">
      <x:c r="A276" s="20" t="str">
        <x:v>CN-GIL-GEN1-HV</x:v>
      </x:c>
      <x:c r="B276" s="20" t="str">
        <x:v>720d591c-5319-5901-a1d7-a860ba0f04a4</x:v>
      </x:c>
      <x:c r="C276" s="20" t="str">
        <x:v>ConnectivityNode</x:v>
      </x:c>
      <x:c r="D276" s="20" t="str">
        <x:v>GEN1 GSU HV node</x:v>
      </x:c>
      <x:c r="E276" s="20" t="str">
        <x:v>GI GILIMANUK</x:v>
      </x:c>
      <x:c r="F276" s="20" t="n">
        <x:v>150</x:v>
      </x:c>
      <x:c r="G276" s="20" t="str">
        <x:v>GEN1</x:v>
      </x:c>
      <x:c r="H276" s="20" t="str">
        <x:v>ASSUMED</x:v>
      </x:c>
      <x:c r="I276" s="40" t="n">
        <x:v>0.55</x:v>
      </x:c>
      <x:c r="J276" s="20" t="str">
        <x:v>DRAFT</x:v>
      </x:c>
      <x:c r="K276" s="20" t="str"/>
      <x:c r="L276" s="20" t="str">
        <x:v>Connectivity node GEN1 GSU HV node.</x:v>
      </x:c>
    </x:row>
    <x:row r="277">
      <x:c r="A277" s="20" t="str">
        <x:v>CN-GIL-GEN1-LV</x:v>
      </x:c>
      <x:c r="B277" s="20" t="str">
        <x:v>ed3e3e08-909c-5ba9-aebf-9d343a244bfc</x:v>
      </x:c>
      <x:c r="C277" s="20" t="str">
        <x:v>ConnectivityNode</x:v>
      </x:c>
      <x:c r="D277" s="20" t="str">
        <x:v>GEN1 machine node 11 kV</x:v>
      </x:c>
      <x:c r="E277" s="20" t="str">
        <x:v>GI GILIMANUK</x:v>
      </x:c>
      <x:c r="F277" s="20" t="n">
        <x:v>11</x:v>
      </x:c>
      <x:c r="G277" s="20" t="str">
        <x:v>GEN1</x:v>
      </x:c>
      <x:c r="H277" s="20" t="str">
        <x:v>ASSUMED</x:v>
      </x:c>
      <x:c r="I277" s="40" t="n">
        <x:v>0.4</x:v>
      </x:c>
      <x:c r="J277" s="20" t="str">
        <x:v>DRAFT</x:v>
      </x:c>
      <x:c r="K277" s="20" t="str"/>
      <x:c r="L277" s="20" t="str">
        <x:v>Connectivity node GEN1 machine node 11 kV.</x:v>
      </x:c>
    </x:row>
    <x:row r="278">
      <x:c r="A278" s="20" t="str">
        <x:v>CN-GIL-GEN1-CB-OUT</x:v>
      </x:c>
      <x:c r="B278" s="20" t="str">
        <x:v>470aa557-b9ae-5c94-8c0a-d6aa48d94c2e</x:v>
      </x:c>
      <x:c r="C278" s="20" t="str">
        <x:v>ConnectivityNode</x:v>
      </x:c>
      <x:c r="D278" s="20" t="str">
        <x:v>GEN1 CB output node</x:v>
      </x:c>
      <x:c r="E278" s="20" t="str">
        <x:v>GI GILIMANUK</x:v>
      </x:c>
      <x:c r="F278" s="20" t="n">
        <x:v>150</x:v>
      </x:c>
      <x:c r="G278" s="20" t="str">
        <x:v>GEN1</x:v>
      </x:c>
      <x:c r="H278" s="20" t="str">
        <x:v>ASSUMED</x:v>
      </x:c>
      <x:c r="I278" s="40" t="n">
        <x:v>0.55</x:v>
      </x:c>
      <x:c r="J278" s="20" t="str">
        <x:v>DRAFT</x:v>
      </x:c>
      <x:c r="K278" s="20" t="str"/>
      <x:c r="L278" s="20" t="str">
        <x:v>Connectivity node GEN1 CB output node.</x:v>
      </x:c>
    </x:row>
    <x:row r="279">
      <x:c r="A279" s="20" t="str">
        <x:v>GIL-150-GEN1-DS-A</x:v>
      </x:c>
      <x:c r="B279" s="20" t="str">
        <x:v>6b3a1dfa-0def-5db6-bf1e-c2e47610bea8</x:v>
      </x:c>
      <x:c r="C279" s="20" t="str">
        <x:v>Disconnector</x:v>
      </x:c>
      <x:c r="D279" s="20" t="str">
        <x:v>DS BUS A GEN1</x:v>
      </x:c>
      <x:c r="E279" s="20" t="str">
        <x:v>GI GILIMANUK</x:v>
      </x:c>
      <x:c r="F279" s="20" t="n">
        <x:v>150</x:v>
      </x:c>
      <x:c r="G279" s="20" t="str">
        <x:v>GEN1</x:v>
      </x:c>
      <x:c r="H279" s="20" t="str">
        <x:v>ASSUMED</x:v>
      </x:c>
      <x:c r="I279" s="40" t="n">
        <x:v>0.55</x:v>
      </x:c>
      <x:c r="J279" s="20" t="str">
        <x:v>DRAFT</x:v>
      </x:c>
      <x:c r="K279" s="20" t="str"/>
      <x:c r="L279" s="20" t="str">
        <x:v>Provisional bus-A selector disconnector for generator bay.</x:v>
      </x:c>
    </x:row>
    <x:row r="280">
      <x:c r="A280" s="20" t="str">
        <x:v>DS::GIL::GEN1::BUS-A-T1</x:v>
      </x:c>
      <x:c r="B280" s="20" t="str">
        <x:v>9427df25-b15b-55a3-b7e6-e58c9e740972</x:v>
      </x:c>
      <x:c r="C280" s="20" t="str">
        <x:v>Terminal</x:v>
      </x:c>
      <x:c r="D280" s="20" t="str">
        <x:v>1</x:v>
      </x:c>
      <x:c r="E280" s="20" t="str"/>
      <x:c r="F280" s="20" t="str"/>
      <x:c r="G280" s="20" t="str"/>
      <x:c r="H280" s="20" t="str">
        <x:v>ASSUMED</x:v>
      </x:c>
      <x:c r="I280" s="40" t="n">
        <x:v>0.55</x:v>
      </x:c>
      <x:c r="J280" s="20" t="str">
        <x:v>DRAFT</x:v>
      </x:c>
      <x:c r="K280" s="20" t="str"/>
      <x:c r="L280" s="20" t="str">
        <x:v>Terminal 1 of DS BUS A GEN1</x:v>
      </x:c>
    </x:row>
    <x:row r="281">
      <x:c r="A281" s="20" t="str">
        <x:v>DS::GIL::GEN1::BUS-A-T2</x:v>
      </x:c>
      <x:c r="B281" s="20" t="str">
        <x:v>382e3c36-a488-5da2-9a93-fd67fb31fe39</x:v>
      </x:c>
      <x:c r="C281" s="20" t="str">
        <x:v>Terminal</x:v>
      </x:c>
      <x:c r="D281" s="20" t="str">
        <x:v>2</x:v>
      </x:c>
      <x:c r="E281" s="20" t="str"/>
      <x:c r="F281" s="20" t="str"/>
      <x:c r="G281" s="20" t="str"/>
      <x:c r="H281" s="20" t="str">
        <x:v>ASSUMED</x:v>
      </x:c>
      <x:c r="I281" s="40" t="n">
        <x:v>0.55</x:v>
      </x:c>
      <x:c r="J281" s="20" t="str">
        <x:v>DRAFT</x:v>
      </x:c>
      <x:c r="K281" s="20" t="str"/>
      <x:c r="L281" s="20" t="str">
        <x:v>Terminal 2 of DS BUS A GEN1</x:v>
      </x:c>
    </x:row>
    <x:row r="282">
      <x:c r="A282" s="20" t="str">
        <x:v>GIL-150-GEN1-DS-B</x:v>
      </x:c>
      <x:c r="B282" s="20" t="str">
        <x:v>06b799d6-ed39-5102-a0c5-6861b202ab67</x:v>
      </x:c>
      <x:c r="C282" s="20" t="str">
        <x:v>Disconnector</x:v>
      </x:c>
      <x:c r="D282" s="20" t="str">
        <x:v>DS BUS B GEN1</x:v>
      </x:c>
      <x:c r="E282" s="20" t="str">
        <x:v>GI GILIMANUK</x:v>
      </x:c>
      <x:c r="F282" s="20" t="n">
        <x:v>150</x:v>
      </x:c>
      <x:c r="G282" s="20" t="str">
        <x:v>GEN1</x:v>
      </x:c>
      <x:c r="H282" s="20" t="str">
        <x:v>ASSUMED</x:v>
      </x:c>
      <x:c r="I282" s="40" t="n">
        <x:v>0.55</x:v>
      </x:c>
      <x:c r="J282" s="20" t="str">
        <x:v>DRAFT</x:v>
      </x:c>
      <x:c r="K282" s="20" t="str"/>
      <x:c r="L282" s="20" t="str">
        <x:v>Provisional bus-B selector disconnector for generator bay.</x:v>
      </x:c>
    </x:row>
    <x:row r="283">
      <x:c r="A283" s="20" t="str">
        <x:v>DS::GIL::GEN1::BUS-B-T1</x:v>
      </x:c>
      <x:c r="B283" s="20" t="str">
        <x:v>e3ce586e-718b-5794-bfb5-be91beee4b53</x:v>
      </x:c>
      <x:c r="C283" s="20" t="str">
        <x:v>Terminal</x:v>
      </x:c>
      <x:c r="D283" s="20" t="str">
        <x:v>1</x:v>
      </x:c>
      <x:c r="E283" s="20" t="str"/>
      <x:c r="F283" s="20" t="str"/>
      <x:c r="G283" s="20" t="str"/>
      <x:c r="H283" s="20" t="str">
        <x:v>ASSUMED</x:v>
      </x:c>
      <x:c r="I283" s="40" t="n">
        <x:v>0.55</x:v>
      </x:c>
      <x:c r="J283" s="20" t="str">
        <x:v>DRAFT</x:v>
      </x:c>
      <x:c r="K283" s="20" t="str"/>
      <x:c r="L283" s="20" t="str">
        <x:v>Terminal 1 of DS BUS B GEN1</x:v>
      </x:c>
    </x:row>
    <x:row r="284">
      <x:c r="A284" s="20" t="str">
        <x:v>DS::GIL::GEN1::BUS-B-T2</x:v>
      </x:c>
      <x:c r="B284" s="20" t="str">
        <x:v>5d6fbb4f-74a9-506c-b77c-2bded1896060</x:v>
      </x:c>
      <x:c r="C284" s="20" t="str">
        <x:v>Terminal</x:v>
      </x:c>
      <x:c r="D284" s="20" t="str">
        <x:v>2</x:v>
      </x:c>
      <x:c r="E284" s="20" t="str"/>
      <x:c r="F284" s="20" t="str"/>
      <x:c r="G284" s="20" t="str"/>
      <x:c r="H284" s="20" t="str">
        <x:v>ASSUMED</x:v>
      </x:c>
      <x:c r="I284" s="40" t="n">
        <x:v>0.55</x:v>
      </x:c>
      <x:c r="J284" s="20" t="str">
        <x:v>DRAFT</x:v>
      </x:c>
      <x:c r="K284" s="20" t="str"/>
      <x:c r="L284" s="20" t="str">
        <x:v>Terminal 2 of DS BUS B GEN1</x:v>
      </x:c>
    </x:row>
    <x:row r="285">
      <x:c r="A285" s="20" t="str">
        <x:v>GIL-150-GEN1-CB</x:v>
      </x:c>
      <x:c r="B285" s="20" t="str">
        <x:v>5c7ee368-d6ed-5b24-aea9-3baa41edc75b</x:v>
      </x:c>
      <x:c r="C285" s="20" t="str">
        <x:v>Breaker</x:v>
      </x:c>
      <x:c r="D285" s="20" t="str">
        <x:v>CB GEN1</x:v>
      </x:c>
      <x:c r="E285" s="20" t="str">
        <x:v>GI GILIMANUK</x:v>
      </x:c>
      <x:c r="F285" s="20" t="n">
        <x:v>150</x:v>
      </x:c>
      <x:c r="G285" s="20" t="str">
        <x:v>GEN1</x:v>
      </x:c>
      <x:c r="H285" s="20" t="str">
        <x:v>ASSUMED</x:v>
      </x:c>
      <x:c r="I285" s="40" t="n">
        <x:v>0.6</x:v>
      </x:c>
      <x:c r="J285" s="20" t="str">
        <x:v>DRAFT</x:v>
      </x:c>
      <x:c r="K285" s="20" t="str"/>
      <x:c r="L285" s="20" t="str">
        <x:v>Provisional generator circuit breaker.</x:v>
      </x:c>
    </x:row>
    <x:row r="286">
      <x:c r="A286" s="20" t="str">
        <x:v>CB::GIL::GEN1-T1</x:v>
      </x:c>
      <x:c r="B286" s="20" t="str">
        <x:v>8b2dc219-4a0e-51ac-97e8-695ca2a11bb4</x:v>
      </x:c>
      <x:c r="C286" s="20" t="str">
        <x:v>Terminal</x:v>
      </x:c>
      <x:c r="D286" s="20" t="str">
        <x:v>1</x:v>
      </x:c>
      <x:c r="E286" s="20" t="str"/>
      <x:c r="F286" s="20" t="str"/>
      <x:c r="G286" s="20" t="str"/>
      <x:c r="H286" s="20" t="str">
        <x:v>ASSUMED</x:v>
      </x:c>
      <x:c r="I286" s="40" t="n">
        <x:v>0.6</x:v>
      </x:c>
      <x:c r="J286" s="20" t="str">
        <x:v>DRAFT</x:v>
      </x:c>
      <x:c r="K286" s="20" t="str"/>
      <x:c r="L286" s="20" t="str">
        <x:v>Terminal 1 of CB GEN1</x:v>
      </x:c>
    </x:row>
    <x:row r="287">
      <x:c r="A287" s="20" t="str">
        <x:v>CB::GIL::GEN1-T2</x:v>
      </x:c>
      <x:c r="B287" s="20" t="str">
        <x:v>f3439ee5-59d7-5f0e-b8fd-4ec03ae76eb6</x:v>
      </x:c>
      <x:c r="C287" s="20" t="str">
        <x:v>Terminal</x:v>
      </x:c>
      <x:c r="D287" s="20" t="str">
        <x:v>2</x:v>
      </x:c>
      <x:c r="E287" s="20" t="str"/>
      <x:c r="F287" s="20" t="str"/>
      <x:c r="G287" s="20" t="str"/>
      <x:c r="H287" s="20" t="str">
        <x:v>ASSUMED</x:v>
      </x:c>
      <x:c r="I287" s="40" t="n">
        <x:v>0.6</x:v>
      </x:c>
      <x:c r="J287" s="20" t="str">
        <x:v>DRAFT</x:v>
      </x:c>
      <x:c r="K287" s="20" t="str"/>
      <x:c r="L287" s="20" t="str">
        <x:v>Terminal 2 of CB GEN1</x:v>
      </x:c>
    </x:row>
    <x:row r="288">
      <x:c r="A288" s="20" t="str">
        <x:v>GIL-150-GEN1-DS-GSU</x:v>
      </x:c>
      <x:c r="B288" s="20" t="str">
        <x:v>51764e65-a702-5af1-ab41-17e73b1d031e</x:v>
      </x:c>
      <x:c r="C288" s="20" t="str">
        <x:v>Disconnector</x:v>
      </x:c>
      <x:c r="D288" s="20" t="str">
        <x:v>DS GSU GEN1</x:v>
      </x:c>
      <x:c r="E288" s="20" t="str">
        <x:v>GI GILIMANUK</x:v>
      </x:c>
      <x:c r="F288" s="20" t="n">
        <x:v>150</x:v>
      </x:c>
      <x:c r="G288" s="20" t="str">
        <x:v>GEN1</x:v>
      </x:c>
      <x:c r="H288" s="20" t="str">
        <x:v>ASSUMED</x:v>
      </x:c>
      <x:c r="I288" s="40" t="n">
        <x:v>0.55</x:v>
      </x:c>
      <x:c r="J288" s="20" t="str">
        <x:v>DRAFT</x:v>
      </x:c>
      <x:c r="K288" s="20" t="str">
        <x:v>d75f92c9-4a91-46ea-bd84-42b2c435c61d</x:v>
      </x:c>
      <x:c r="L288" s="20" t="str">
        <x:v>Provisional GSU-side disconnector.</x:v>
      </x:c>
    </x:row>
    <x:row r="289">
      <x:c r="A289" s="20" t="str">
        <x:v>DS::GIL::GEN1::GSU-T1</x:v>
      </x:c>
      <x:c r="B289" s="20" t="str">
        <x:v>af9f8277-d287-5f32-a404-54781187abb2</x:v>
      </x:c>
      <x:c r="C289" s="20" t="str">
        <x:v>Terminal</x:v>
      </x:c>
      <x:c r="D289" s="20" t="str">
        <x:v>1</x:v>
      </x:c>
      <x:c r="E289" s="20" t="str"/>
      <x:c r="F289" s="20" t="str"/>
      <x:c r="G289" s="20" t="str"/>
      <x:c r="H289" s="20" t="str">
        <x:v>ASSUMED</x:v>
      </x:c>
      <x:c r="I289" s="40" t="n">
        <x:v>0.55</x:v>
      </x:c>
      <x:c r="J289" s="20" t="str">
        <x:v>DRAFT</x:v>
      </x:c>
      <x:c r="K289" s="20" t="str"/>
      <x:c r="L289" s="20" t="str">
        <x:v>Terminal 1 of DS GSU GEN1</x:v>
      </x:c>
    </x:row>
    <x:row r="290">
      <x:c r="A290" s="20" t="str">
        <x:v>DS::GIL::GEN1::GSU-T2</x:v>
      </x:c>
      <x:c r="B290" s="20" t="str">
        <x:v>5befd0f5-1aec-56db-86bf-3024abaf56c5</x:v>
      </x:c>
      <x:c r="C290" s="20" t="str">
        <x:v>Terminal</x:v>
      </x:c>
      <x:c r="D290" s="20" t="str">
        <x:v>2</x:v>
      </x:c>
      <x:c r="E290" s="20" t="str"/>
      <x:c r="F290" s="20" t="str"/>
      <x:c r="G290" s="20" t="str"/>
      <x:c r="H290" s="20" t="str">
        <x:v>ASSUMED</x:v>
      </x:c>
      <x:c r="I290" s="40" t="n">
        <x:v>0.55</x:v>
      </x:c>
      <x:c r="J290" s="20" t="str">
        <x:v>DRAFT</x:v>
      </x:c>
      <x:c r="K290" s="20" t="str"/>
      <x:c r="L290" s="20" t="str">
        <x:v>Terminal 2 of DS GSU GEN1</x:v>
      </x:c>
    </x:row>
    <x:row r="291">
      <x:c r="A291" s="20" t="str">
        <x:v>GIL-GEN1-GSU</x:v>
      </x:c>
      <x:c r="B291" s="20" t="str">
        <x:v>9f791c89-97ce-58c5-a695-b257dcd6487d</x:v>
      </x:c>
      <x:c r="C291" s="20" t="str">
        <x:v>PowerTransformer</x:v>
      </x:c>
      <x:c r="D291" s="20" t="str">
        <x:v>GSU PLTG GILIMANUK UNIT 1</x:v>
      </x:c>
      <x:c r="E291" s="20" t="str">
        <x:v>GI GILIMANUK</x:v>
      </x:c>
      <x:c r="F291" s="20" t="n">
        <x:v>150</x:v>
      </x:c>
      <x:c r="G291" s="20" t="str">
        <x:v>GEN1</x:v>
      </x:c>
      <x:c r="H291" s="20" t="str">
        <x:v>ASSUMED</x:v>
      </x:c>
      <x:c r="I291" s="40" t="n">
        <x:v>0.4</x:v>
      </x:c>
      <x:c r="J291" s="20" t="str">
        <x:v>DRAFT</x:v>
      </x:c>
      <x:c r="K291" s="20" t="str"/>
      <x:c r="L291" s="20" t="str">
        <x:v>Provisional generator step-up transformer. Ratio 150/11 kV is assumed pending plant SLD.</x:v>
      </x:c>
    </x:row>
    <x:row r="292">
      <x:c r="A292" s="20" t="str">
        <x:v>TRF::GEN1::GSU-T1</x:v>
      </x:c>
      <x:c r="B292" s="20" t="str">
        <x:v>64cdff2c-7479-5ad3-92fc-e39c39bb5495</x:v>
      </x:c>
      <x:c r="C292" s="20" t="str">
        <x:v>Terminal</x:v>
      </x:c>
      <x:c r="D292" s="20" t="str">
        <x:v>1</x:v>
      </x:c>
      <x:c r="E292" s="20" t="str"/>
      <x:c r="F292" s="20" t="str"/>
      <x:c r="G292" s="20" t="str"/>
      <x:c r="H292" s="20" t="str">
        <x:v>ASSUMED</x:v>
      </x:c>
      <x:c r="I292" s="40" t="n">
        <x:v>0.4</x:v>
      </x:c>
      <x:c r="J292" s="20" t="str">
        <x:v>DRAFT</x:v>
      </x:c>
      <x:c r="K292" s="20" t="str"/>
      <x:c r="L292" s="20" t="str">
        <x:v>Terminal 1 of GSU PLTG GILIMANUK UNIT 1</x:v>
      </x:c>
    </x:row>
    <x:row r="293">
      <x:c r="A293" s="20" t="str">
        <x:v>TRF::GEN1::GSU-T2</x:v>
      </x:c>
      <x:c r="B293" s="20" t="str">
        <x:v>529c49d1-c8ae-5972-a836-eb0ae57f353e</x:v>
      </x:c>
      <x:c r="C293" s="20" t="str">
        <x:v>Terminal</x:v>
      </x:c>
      <x:c r="D293" s="20" t="str">
        <x:v>2</x:v>
      </x:c>
      <x:c r="E293" s="20" t="str"/>
      <x:c r="F293" s="20" t="str"/>
      <x:c r="G293" s="20" t="str"/>
      <x:c r="H293" s="20" t="str">
        <x:v>ASSUMED</x:v>
      </x:c>
      <x:c r="I293" s="40" t="n">
        <x:v>0.4</x:v>
      </x:c>
      <x:c r="J293" s="20" t="str">
        <x:v>DRAFT</x:v>
      </x:c>
      <x:c r="K293" s="20" t="str"/>
      <x:c r="L293" s="20" t="str">
        <x:v>Terminal 2 of GSU PLTG GILIMANUK UNIT 1</x:v>
      </x:c>
    </x:row>
    <x:row r="294">
      <x:c r="A294" s="20" t="str">
        <x:v>GIL-GEN1-GSU-END-1</x:v>
      </x:c>
      <x:c r="B294" s="20" t="str">
        <x:v>3d081a07-b7c5-560e-8d66-a1008b0d8eb5</x:v>
      </x:c>
      <x:c r="C294" s="20" t="str">
        <x:v>PowerTransformerEnd</x:v>
      </x:c>
      <x:c r="D294" s="20" t="str">
        <x:v>GSU GEN1 END 1</x:v>
      </x:c>
      <x:c r="E294" s="20" t="str">
        <x:v>GI GILIMANUK</x:v>
      </x:c>
      <x:c r="F294" s="20" t="n">
        <x:v>150</x:v>
      </x:c>
      <x:c r="G294" s="20" t="str">
        <x:v>GEN1</x:v>
      </x:c>
      <x:c r="H294" s="20" t="str">
        <x:v>ASSUMED</x:v>
      </x:c>
      <x:c r="I294" s="40" t="n">
        <x:v>0.4</x:v>
      </x:c>
      <x:c r="J294" s="20" t="str">
        <x:v>DRAFT</x:v>
      </x:c>
      <x:c r="K294" s="20" t="str"/>
      <x:c r="L294" s="20" t="str">
        <x:v>Provisional GSU end 1, rated 150 kV.</x:v>
      </x:c>
    </x:row>
    <x:row r="295">
      <x:c r="A295" s="20" t="str">
        <x:v>GIL-GEN1-GSU-END-2</x:v>
      </x:c>
      <x:c r="B295" s="20" t="str">
        <x:v>2a9458db-6677-5fdb-bf63-065456284366</x:v>
      </x:c>
      <x:c r="C295" s="20" t="str">
        <x:v>PowerTransformerEnd</x:v>
      </x:c>
      <x:c r="D295" s="20" t="str">
        <x:v>GSU GEN1 END 2</x:v>
      </x:c>
      <x:c r="E295" s="20" t="str">
        <x:v>GI GILIMANUK</x:v>
      </x:c>
      <x:c r="F295" s="20" t="n">
        <x:v>11</x:v>
      </x:c>
      <x:c r="G295" s="20" t="str">
        <x:v>GEN1</x:v>
      </x:c>
      <x:c r="H295" s="20" t="str">
        <x:v>ASSUMED</x:v>
      </x:c>
      <x:c r="I295" s="40" t="n">
        <x:v>0.4</x:v>
      </x:c>
      <x:c r="J295" s="20" t="str">
        <x:v>DRAFT</x:v>
      </x:c>
      <x:c r="K295" s="20" t="str"/>
      <x:c r="L295" s="20" t="str">
        <x:v>Provisional GSU end 2, rated 11 kV.</x:v>
      </x:c>
    </x:row>
    <x:row r="296">
      <x:c r="A296" s="20" t="str">
        <x:v>GIL-GEN1-UNIT</x:v>
      </x:c>
      <x:c r="B296" s="20" t="str">
        <x:v>9e33b364-b4b5-59bd-b68f-94ef4281d39b</x:v>
      </x:c>
      <x:c r="C296" s="20" t="str">
        <x:v>ThermalGeneratingUnit</x:v>
      </x:c>
      <x:c r="D296" s="20" t="str">
        <x:v>PLTG GILIMANUK UNIT 1</x:v>
      </x:c>
      <x:c r="E296" s="20" t="str">
        <x:v>GI GILIMANUK</x:v>
      </x:c>
      <x:c r="F296" s="20" t="n">
        <x:v>11</x:v>
      </x:c>
      <x:c r="G296" s="20" t="str">
        <x:v>GEN1</x:v>
      </x:c>
      <x:c r="H296" s="20" t="str">
        <x:v>SOURCE_NORMALIZED</x:v>
      </x:c>
      <x:c r="I296" s="40" t="n">
        <x:v>0.7</x:v>
      </x:c>
      <x:c r="J296" s="20" t="str">
        <x:v>DRAFT</x:v>
      </x:c>
      <x:c r="K296" s="20" t="str">
        <x:v>7c45c7c6-0f7e-40c4-997f-2d4778ffde71</x:v>
      </x:c>
      <x:c r="L296" s="20" t="str">
        <x:v>Canonical generating unit based on the supplied SynchronousMachine source object.</x:v>
      </x:c>
    </x:row>
    <x:row r="297">
      <x:c r="A297" s="20" t="str">
        <x:v>GIL-GEN1-SM</x:v>
      </x:c>
      <x:c r="B297" s="20" t="str">
        <x:v>3882808d-35ee-5dc3-ab19-986a6e0e8f6f</x:v>
      </x:c>
      <x:c r="C297" s="20" t="str">
        <x:v>SynchronousMachine</x:v>
      </x:c>
      <x:c r="D297" s="20" t="str">
        <x:v>SYNCHRONOUS MACHINE PLTG GILIMANUK UNIT 1</x:v>
      </x:c>
      <x:c r="E297" s="20" t="str">
        <x:v>GI GILIMANUK</x:v>
      </x:c>
      <x:c r="F297" s="20" t="n">
        <x:v>11</x:v>
      </x:c>
      <x:c r="G297" s="20" t="str">
        <x:v>GEN1</x:v>
      </x:c>
      <x:c r="H297" s="20" t="str">
        <x:v>SOURCE_AND_SLD_DERIVED</x:v>
      </x:c>
      <x:c r="I297" s="40" t="n">
        <x:v>0.6</x:v>
      </x:c>
      <x:c r="J297" s="20" t="str">
        <x:v>DRAFT</x:v>
      </x:c>
      <x:c r="K297" s="20" t="str">
        <x:v>7c45c7c6-0f7e-40c4-997f-2d4778ffde71</x:v>
      </x:c>
      <x:c r="L297" s="20" t="str">
        <x:v>Canonical synchronous machine connected to the provisional 11 kV generator node.</x:v>
      </x:c>
    </x:row>
    <x:row r="298">
      <x:c r="A298" s="20" t="str">
        <x:v>SYNC::GIL::GEN1-T1</x:v>
      </x:c>
      <x:c r="B298" s="20" t="str">
        <x:v>ef053d60-2661-55f2-89e0-edce3e44c483</x:v>
      </x:c>
      <x:c r="C298" s="20" t="str">
        <x:v>Terminal</x:v>
      </x:c>
      <x:c r="D298" s="20" t="str">
        <x:v>1</x:v>
      </x:c>
      <x:c r="E298" s="20" t="str"/>
      <x:c r="F298" s="20" t="str"/>
      <x:c r="G298" s="20" t="str"/>
      <x:c r="H298" s="20" t="str">
        <x:v>SOURCE_AND_SLD_DERIVED</x:v>
      </x:c>
      <x:c r="I298" s="40" t="n">
        <x:v>0.6</x:v>
      </x:c>
      <x:c r="J298" s="20" t="str">
        <x:v>DRAFT</x:v>
      </x:c>
      <x:c r="K298" s="20" t="str"/>
      <x:c r="L298" s="20" t="str">
        <x:v>Terminal 1 of SYNCHRONOUS MACHINE PLTG GILIMANUK UNIT 1</x:v>
      </x:c>
    </x:row>
  </x:sheetData>
  <x:mergeCells>
    <x:mergeCell ref="A1:L1"/>
    <x:mergeCell ref="A2:L2"/>
  </x:mergeCells>
  <x:conditionalFormatting sqref="I5:I29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dfc4370f65f4b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2" hidden="0" customWidth="1"/>
    <x:col min="4" max="4" width="30" hidden="0" customWidth="1"/>
    <x:col min="5" max="5" width="34" hidden="0" customWidth="1"/>
    <x:col min="6" max="6" width="30" hidden="0" customWidth="1"/>
    <x:col min="7" max="7" width="34" hidden="0" customWidth="1"/>
    <x:col min="8" max="8" width="14" hidden="0" customWidth="1"/>
    <x:col min="9" max="9" width="30" hidden="0" customWidth="1"/>
    <x:col min="10" max="10" width="12" hidden="0" customWidth="1"/>
  </x:cols>
  <x:sheetData>
    <x:row r="1" ht="28" customHeight="1">
      <x:c r="A1" s="24" t="str">
        <x:v>Equipment–Terminal–ConnectivityNode Register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34" customHeight="1">
      <x:c r="A2" s="30" t="str">
        <x:v>This is the auditable connectivity layer used to reconstruct topology independently of object names.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4" ht="30" customHeight="1">
      <x:c r="A4" s="36" t="str">
        <x:v>equipment_id</x:v>
      </x:c>
      <x:c r="B4" s="36" t="str">
        <x:v>equipment_name</x:v>
      </x:c>
      <x:c r="C4" s="36" t="str">
        <x:v>cim_class</x:v>
      </x:c>
      <x:c r="D4" s="36" t="str">
        <x:v>terminal_1</x:v>
      </x:c>
      <x:c r="E4" s="36" t="str">
        <x:v>node_1</x:v>
      </x:c>
      <x:c r="F4" s="36" t="str">
        <x:v>terminal_2</x:v>
      </x:c>
      <x:c r="G4" s="36" t="str">
        <x:v>node_2</x:v>
      </x:c>
      <x:c r="H4" s="36" t="str">
        <x:v>normal_open</x:v>
      </x:c>
      <x:c r="I4" s="36" t="str">
        <x:v>provenance</x:v>
      </x:c>
      <x:c r="J4" s="36" t="str">
        <x:v>confidence</x:v>
      </x:c>
    </x:row>
    <x:row r="5">
      <x:c r="A5" s="20" t="str">
        <x:v>GIL-150-COUPLER-DS-A</x:v>
      </x:c>
      <x:c r="B5" s="20" t="str">
        <x:v>DS BUS A COUPLER</x:v>
      </x:c>
      <x:c r="C5" s="20" t="str">
        <x:v>Disconnector</x:v>
      </x:c>
      <x:c r="D5" s="20" t="str">
        <x:v>DS-GIL-COUPLER-A-T1</x:v>
      </x:c>
      <x:c r="E5" s="20" t="str">
        <x:v>CN-GIL-BUS-A</x:v>
      </x:c>
      <x:c r="F5" s="20" t="str">
        <x:v>DS-GIL-COUPLER-A-T2</x:v>
      </x:c>
      <x:c r="G5" s="20" t="str">
        <x:v>CN-GIL-COUPLER-A</x:v>
      </x:c>
      <x:c r="H5" s="46" t="b">
        <x:v>0</x:v>
      </x:c>
      <x:c r="I5" s="20" t="str">
        <x:v>ASSUMED</x:v>
      </x:c>
      <x:c r="J5" s="40" t="n">
        <x:v>0.65</x:v>
      </x:c>
    </x:row>
    <x:row r="6">
      <x:c r="A6" s="20" t="str">
        <x:v>GIL-150-COUPLER-CB</x:v>
      </x:c>
      <x:c r="B6" s="20" t="str">
        <x:v>CB BUS COUPLER</x:v>
      </x:c>
      <x:c r="C6" s="20" t="str">
        <x:v>Breaker</x:v>
      </x:c>
      <x:c r="D6" s="20" t="str">
        <x:v>CB-GIL-COUPLER-T1</x:v>
      </x:c>
      <x:c r="E6" s="20" t="str">
        <x:v>CN-GIL-COUPLER-A</x:v>
      </x:c>
      <x:c r="F6" s="20" t="str">
        <x:v>CB-GIL-COUPLER-T2</x:v>
      </x:c>
      <x:c r="G6" s="20" t="str">
        <x:v>CN-GIL-COUPLER-B</x:v>
      </x:c>
      <x:c r="H6" s="46" t="b">
        <x:v>0</x:v>
      </x:c>
      <x:c r="I6" s="20" t="str">
        <x:v>ASSUMED</x:v>
      </x:c>
      <x:c r="J6" s="40" t="n">
        <x:v>0.65</x:v>
      </x:c>
    </x:row>
    <x:row r="7">
      <x:c r="A7" s="20" t="str">
        <x:v>GIL-150-COUPLER-DS-B</x:v>
      </x:c>
      <x:c r="B7" s="20" t="str">
        <x:v>DS BUS B COUPLER</x:v>
      </x:c>
      <x:c r="C7" s="20" t="str">
        <x:v>Disconnector</x:v>
      </x:c>
      <x:c r="D7" s="20" t="str">
        <x:v>DS-GIL-COUPLER-B-T1</x:v>
      </x:c>
      <x:c r="E7" s="20" t="str">
        <x:v>CN-GIL-COUPLER-B</x:v>
      </x:c>
      <x:c r="F7" s="20" t="str">
        <x:v>DS-GIL-COUPLER-B-T2</x:v>
      </x:c>
      <x:c r="G7" s="20" t="str">
        <x:v>CN-GIL-BUS-B</x:v>
      </x:c>
      <x:c r="H7" s="46" t="b">
        <x:v>0</x:v>
      </x:c>
      <x:c r="I7" s="20" t="str">
        <x:v>ASSUMED</x:v>
      </x:c>
      <x:c r="J7" s="40" t="n">
        <x:v>0.65</x:v>
      </x:c>
    </x:row>
    <x:row r="8">
      <x:c r="A8" s="20" t="str">
        <x:v>GIL-150-BWI-C1-DS-A</x:v>
      </x:c>
      <x:c r="B8" s="20" t="str">
        <x:v>DS BUS A BWI-C1</x:v>
      </x:c>
      <x:c r="C8" s="20" t="str">
        <x:v>Disconnector</x:v>
      </x:c>
      <x:c r="D8" s="20" t="str">
        <x:v>DS-GIL-BWI-C1-BUS-A-T1</x:v>
      </x:c>
      <x:c r="E8" s="20" t="str">
        <x:v>CN-GIL-BUS-A</x:v>
      </x:c>
      <x:c r="F8" s="20" t="str">
        <x:v>DS-GIL-BWI-C1-BUS-A-T2</x:v>
      </x:c>
      <x:c r="G8" s="20" t="str">
        <x:v>CN-GIL-BWI-C1-SELECT</x:v>
      </x:c>
      <x:c r="H8" s="46" t="b">
        <x:v>0</x:v>
      </x:c>
      <x:c r="I8" s="20" t="str">
        <x:v>ASSUMED</x:v>
      </x:c>
      <x:c r="J8" s="40" t="n">
        <x:v>0.65</x:v>
      </x:c>
    </x:row>
    <x:row r="9">
      <x:c r="A9" s="20" t="str">
        <x:v>GIL-150-BWI-C1-DS-B</x:v>
      </x:c>
      <x:c r="B9" s="20" t="str">
        <x:v>DS BUS B BWI-C1</x:v>
      </x:c>
      <x:c r="C9" s="20" t="str">
        <x:v>Disconnector</x:v>
      </x:c>
      <x:c r="D9" s="20" t="str">
        <x:v>DS-GIL-BWI-C1-BUS-B-T1</x:v>
      </x:c>
      <x:c r="E9" s="20" t="str">
        <x:v>CN-GIL-BUS-B</x:v>
      </x:c>
      <x:c r="F9" s="20" t="str">
        <x:v>DS-GIL-BWI-C1-BUS-B-T2</x:v>
      </x:c>
      <x:c r="G9" s="20" t="str">
        <x:v>CN-GIL-BWI-C1-SELECT</x:v>
      </x:c>
      <x:c r="H9" s="46" t="b">
        <x:v>0</x:v>
      </x:c>
      <x:c r="I9" s="20" t="str">
        <x:v>ASSUMED</x:v>
      </x:c>
      <x:c r="J9" s="40" t="n">
        <x:v>0.65</x:v>
      </x:c>
    </x:row>
    <x:row r="10">
      <x:c r="A10" s="20" t="str">
        <x:v>GIL-150-BWI-C1-CB</x:v>
      </x:c>
      <x:c r="B10" s="20" t="str">
        <x:v>CB BWI-C1</x:v>
      </x:c>
      <x:c r="C10" s="20" t="str">
        <x:v>Breaker</x:v>
      </x:c>
      <x:c r="D10" s="20" t="str">
        <x:v>CB-GIL-BWI-C1-T1</x:v>
      </x:c>
      <x:c r="E10" s="20" t="str">
        <x:v>CN-GIL-BWI-C1-SELECT</x:v>
      </x:c>
      <x:c r="F10" s="20" t="str">
        <x:v>CB-GIL-BWI-C1-T2</x:v>
      </x:c>
      <x:c r="G10" s="20" t="str">
        <x:v>CN-GIL-BWI-C1-CB-LINE</x:v>
      </x:c>
      <x:c r="H10" s="46" t="b">
        <x:v>0</x:v>
      </x:c>
      <x:c r="I10" s="20" t="str">
        <x:v>ASSUMED</x:v>
      </x:c>
      <x:c r="J10" s="40" t="n">
        <x:v>0.7</x:v>
      </x:c>
    </x:row>
    <x:row r="11">
      <x:c r="A11" s="20" t="str">
        <x:v>GIL-150-BWI-C1-DS-LINE</x:v>
      </x:c>
      <x:c r="B11" s="20" t="str">
        <x:v>DS LINE BWI-C1</x:v>
      </x:c>
      <x:c r="C11" s="20" t="str">
        <x:v>Disconnector</x:v>
      </x:c>
      <x:c r="D11" s="20" t="str">
        <x:v>DS-GIL-BWI-C1-LINE-T1</x:v>
      </x:c>
      <x:c r="E11" s="20" t="str">
        <x:v>CN-GIL-BWI-C1-CB-LINE</x:v>
      </x:c>
      <x:c r="F11" s="20" t="str">
        <x:v>DS-GIL-BWI-C1-LINE-T2</x:v>
      </x:c>
      <x:c r="G11" s="20" t="str">
        <x:v>CN-GIL-BWI-C1-LINE-END</x:v>
      </x:c>
      <x:c r="H11" s="46" t="b">
        <x:v>0</x:v>
      </x:c>
      <x:c r="I11" s="20" t="str">
        <x:v>ASSUMED</x:v>
      </x:c>
      <x:c r="J11" s="40" t="n">
        <x:v>0.65</x:v>
      </x:c>
    </x:row>
    <x:row r="12">
      <x:c r="A12" s="20" t="str">
        <x:v>GIL-BWI-150-C1</x:v>
      </x:c>
      <x:c r="B12" s="20" t="str">
        <x:v>AC LINE BWI-C1</x:v>
      </x:c>
      <x:c r="C12" s="20" t="str">
        <x:v>ACLineSegment</x:v>
      </x:c>
      <x:c r="D12" s="20" t="str">
        <x:v>ACLINE-BWI-C1-T1</x:v>
      </x:c>
      <x:c r="E12" s="20" t="str">
        <x:v>CN-GIL-BWI-C1-LINE-END</x:v>
      </x:c>
      <x:c r="F12" s="20" t="str">
        <x:v>ACLINE-BWI-C1-T2</x:v>
      </x:c>
      <x:c r="G12" s="20" t="str">
        <x:v>CN-BWI-BWI-C1-BOUNDARY</x:v>
      </x:c>
      <x:c r="H12" s="20" t="str"/>
      <x:c r="I12" s="20" t="str">
        <x:v>SLD_AND_SOURCE_RECONCILED</x:v>
      </x:c>
      <x:c r="J12" s="40" t="n">
        <x:v>0.75</x:v>
      </x:c>
    </x:row>
    <x:row r="13">
      <x:c r="A13" s="20" t="str">
        <x:v>GIL-150-BWI-C2-DS-A</x:v>
      </x:c>
      <x:c r="B13" s="20" t="str">
        <x:v>DS BUS A BWI-C2</x:v>
      </x:c>
      <x:c r="C13" s="20" t="str">
        <x:v>Disconnector</x:v>
      </x:c>
      <x:c r="D13" s="20" t="str">
        <x:v>DS-GIL-BWI-C2-BUS-A-T1</x:v>
      </x:c>
      <x:c r="E13" s="20" t="str">
        <x:v>CN-GIL-BUS-A</x:v>
      </x:c>
      <x:c r="F13" s="20" t="str">
        <x:v>DS-GIL-BWI-C2-BUS-A-T2</x:v>
      </x:c>
      <x:c r="G13" s="20" t="str">
        <x:v>CN-GIL-BWI-C2-SELECT</x:v>
      </x:c>
      <x:c r="H13" s="46" t="b">
        <x:v>0</x:v>
      </x:c>
      <x:c r="I13" s="20" t="str">
        <x:v>ASSUMED</x:v>
      </x:c>
      <x:c r="J13" s="40" t="n">
        <x:v>0.65</x:v>
      </x:c>
    </x:row>
    <x:row r="14">
      <x:c r="A14" s="20" t="str">
        <x:v>GIL-150-BWI-C2-DS-B</x:v>
      </x:c>
      <x:c r="B14" s="20" t="str">
        <x:v>DS BUS B BWI-C2</x:v>
      </x:c>
      <x:c r="C14" s="20" t="str">
        <x:v>Disconnector</x:v>
      </x:c>
      <x:c r="D14" s="20" t="str">
        <x:v>DS-GIL-BWI-C2-BUS-B-T1</x:v>
      </x:c>
      <x:c r="E14" s="20" t="str">
        <x:v>CN-GIL-BUS-B</x:v>
      </x:c>
      <x:c r="F14" s="20" t="str">
        <x:v>DS-GIL-BWI-C2-BUS-B-T2</x:v>
      </x:c>
      <x:c r="G14" s="20" t="str">
        <x:v>CN-GIL-BWI-C2-SELECT</x:v>
      </x:c>
      <x:c r="H14" s="46" t="b">
        <x:v>0</x:v>
      </x:c>
      <x:c r="I14" s="20" t="str">
        <x:v>ASSUMED</x:v>
      </x:c>
      <x:c r="J14" s="40" t="n">
        <x:v>0.65</x:v>
      </x:c>
    </x:row>
    <x:row r="15">
      <x:c r="A15" s="20" t="str">
        <x:v>GIL-150-BWI-C2-CB</x:v>
      </x:c>
      <x:c r="B15" s="20" t="str">
        <x:v>CB BWI-C2</x:v>
      </x:c>
      <x:c r="C15" s="20" t="str">
        <x:v>Breaker</x:v>
      </x:c>
      <x:c r="D15" s="20" t="str">
        <x:v>CB-GIL-BWI-C2-T1</x:v>
      </x:c>
      <x:c r="E15" s="20" t="str">
        <x:v>CN-GIL-BWI-C2-SELECT</x:v>
      </x:c>
      <x:c r="F15" s="20" t="str">
        <x:v>CB-GIL-BWI-C2-T2</x:v>
      </x:c>
      <x:c r="G15" s="20" t="str">
        <x:v>CN-GIL-BWI-C2-CB-LINE</x:v>
      </x:c>
      <x:c r="H15" s="46" t="b">
        <x:v>0</x:v>
      </x:c>
      <x:c r="I15" s="20" t="str">
        <x:v>ASSUMED</x:v>
      </x:c>
      <x:c r="J15" s="40" t="n">
        <x:v>0.7</x:v>
      </x:c>
    </x:row>
    <x:row r="16">
      <x:c r="A16" s="20" t="str">
        <x:v>GIL-150-BWI-C2-DS-LINE</x:v>
      </x:c>
      <x:c r="B16" s="20" t="str">
        <x:v>DS LINE BWI-C2</x:v>
      </x:c>
      <x:c r="C16" s="20" t="str">
        <x:v>Disconnector</x:v>
      </x:c>
      <x:c r="D16" s="20" t="str">
        <x:v>DS-GIL-BWI-C2-LINE-T1</x:v>
      </x:c>
      <x:c r="E16" s="20" t="str">
        <x:v>CN-GIL-BWI-C2-CB-LINE</x:v>
      </x:c>
      <x:c r="F16" s="20" t="str">
        <x:v>DS-GIL-BWI-C2-LINE-T2</x:v>
      </x:c>
      <x:c r="G16" s="20" t="str">
        <x:v>CN-GIL-BWI-C2-LINE-END</x:v>
      </x:c>
      <x:c r="H16" s="46" t="b">
        <x:v>0</x:v>
      </x:c>
      <x:c r="I16" s="20" t="str">
        <x:v>ASSUMED</x:v>
      </x:c>
      <x:c r="J16" s="40" t="n">
        <x:v>0.65</x:v>
      </x:c>
    </x:row>
    <x:row r="17">
      <x:c r="A17" s="20" t="str">
        <x:v>GIL-BWI-150-C2</x:v>
      </x:c>
      <x:c r="B17" s="20" t="str">
        <x:v>AC LINE BWI-C2</x:v>
      </x:c>
      <x:c r="C17" s="20" t="str">
        <x:v>ACLineSegment</x:v>
      </x:c>
      <x:c r="D17" s="20" t="str">
        <x:v>ACLINE-BWI-C2-T1</x:v>
      </x:c>
      <x:c r="E17" s="20" t="str">
        <x:v>CN-GIL-BWI-C2-LINE-END</x:v>
      </x:c>
      <x:c r="F17" s="20" t="str">
        <x:v>ACLINE-BWI-C2-T2</x:v>
      </x:c>
      <x:c r="G17" s="20" t="str">
        <x:v>CN-BWI-BWI-C2-BOUNDARY</x:v>
      </x:c>
      <x:c r="H17" s="20" t="str"/>
      <x:c r="I17" s="20" t="str">
        <x:v>SLD_AND_SOURCE_RECONCILED</x:v>
      </x:c>
      <x:c r="J17" s="40" t="n">
        <x:v>0.75</x:v>
      </x:c>
    </x:row>
    <x:row r="18">
      <x:c r="A18" s="20" t="str">
        <x:v>GIL-150-BWI-C3-DS-A</x:v>
      </x:c>
      <x:c r="B18" s="20" t="str">
        <x:v>DS BUS A BWI-C3</x:v>
      </x:c>
      <x:c r="C18" s="20" t="str">
        <x:v>Disconnector</x:v>
      </x:c>
      <x:c r="D18" s="20" t="str">
        <x:v>DS-GIL-BWI-C3-BUS-A-T1</x:v>
      </x:c>
      <x:c r="E18" s="20" t="str">
        <x:v>CN-GIL-BUS-A</x:v>
      </x:c>
      <x:c r="F18" s="20" t="str">
        <x:v>DS-GIL-BWI-C3-BUS-A-T2</x:v>
      </x:c>
      <x:c r="G18" s="20" t="str">
        <x:v>CN-GIL-BWI-C3-SELECT</x:v>
      </x:c>
      <x:c r="H18" s="46" t="b">
        <x:v>0</x:v>
      </x:c>
      <x:c r="I18" s="20" t="str">
        <x:v>ASSUMED</x:v>
      </x:c>
      <x:c r="J18" s="40" t="n">
        <x:v>0.65</x:v>
      </x:c>
    </x:row>
    <x:row r="19">
      <x:c r="A19" s="20" t="str">
        <x:v>GIL-150-BWI-C3-DS-B</x:v>
      </x:c>
      <x:c r="B19" s="20" t="str">
        <x:v>DS BUS B BWI-C3</x:v>
      </x:c>
      <x:c r="C19" s="20" t="str">
        <x:v>Disconnector</x:v>
      </x:c>
      <x:c r="D19" s="20" t="str">
        <x:v>DS-GIL-BWI-C3-BUS-B-T1</x:v>
      </x:c>
      <x:c r="E19" s="20" t="str">
        <x:v>CN-GIL-BUS-B</x:v>
      </x:c>
      <x:c r="F19" s="20" t="str">
        <x:v>DS-GIL-BWI-C3-BUS-B-T2</x:v>
      </x:c>
      <x:c r="G19" s="20" t="str">
        <x:v>CN-GIL-BWI-C3-SELECT</x:v>
      </x:c>
      <x:c r="H19" s="46" t="b">
        <x:v>0</x:v>
      </x:c>
      <x:c r="I19" s="20" t="str">
        <x:v>ASSUMED</x:v>
      </x:c>
      <x:c r="J19" s="40" t="n">
        <x:v>0.65</x:v>
      </x:c>
    </x:row>
    <x:row r="20">
      <x:c r="A20" s="20" t="str">
        <x:v>GIL-150-BWI-C3-CB</x:v>
      </x:c>
      <x:c r="B20" s="20" t="str">
        <x:v>CB BWI-C3</x:v>
      </x:c>
      <x:c r="C20" s="20" t="str">
        <x:v>Breaker</x:v>
      </x:c>
      <x:c r="D20" s="20" t="str">
        <x:v>CB-GIL-BWI-C3-T1</x:v>
      </x:c>
      <x:c r="E20" s="20" t="str">
        <x:v>CN-GIL-BWI-C3-SELECT</x:v>
      </x:c>
      <x:c r="F20" s="20" t="str">
        <x:v>CB-GIL-BWI-C3-T2</x:v>
      </x:c>
      <x:c r="G20" s="20" t="str">
        <x:v>CN-GIL-BWI-C3-CB-LINE</x:v>
      </x:c>
      <x:c r="H20" s="46" t="b">
        <x:v>0</x:v>
      </x:c>
      <x:c r="I20" s="20" t="str">
        <x:v>ASSUMED</x:v>
      </x:c>
      <x:c r="J20" s="40" t="n">
        <x:v>0.7</x:v>
      </x:c>
    </x:row>
    <x:row r="21">
      <x:c r="A21" s="20" t="str">
        <x:v>GIL-150-BWI-C3-DS-LINE</x:v>
      </x:c>
      <x:c r="B21" s="20" t="str">
        <x:v>DS LINE BWI-C3</x:v>
      </x:c>
      <x:c r="C21" s="20" t="str">
        <x:v>Disconnector</x:v>
      </x:c>
      <x:c r="D21" s="20" t="str">
        <x:v>DS-GIL-BWI-C3-LINE-T1</x:v>
      </x:c>
      <x:c r="E21" s="20" t="str">
        <x:v>CN-GIL-BWI-C3-CB-LINE</x:v>
      </x:c>
      <x:c r="F21" s="20" t="str">
        <x:v>DS-GIL-BWI-C3-LINE-T2</x:v>
      </x:c>
      <x:c r="G21" s="20" t="str">
        <x:v>CN-GIL-BWI-C3-LINE-END</x:v>
      </x:c>
      <x:c r="H21" s="46" t="b">
        <x:v>0</x:v>
      </x:c>
      <x:c r="I21" s="20" t="str">
        <x:v>ASSUMED</x:v>
      </x:c>
      <x:c r="J21" s="40" t="n">
        <x:v>0.65</x:v>
      </x:c>
    </x:row>
    <x:row r="22">
      <x:c r="A22" s="20" t="str">
        <x:v>GIL-BWI-150-C3</x:v>
      </x:c>
      <x:c r="B22" s="20" t="str">
        <x:v>AC LINE BWI-C3</x:v>
      </x:c>
      <x:c r="C22" s="20" t="str">
        <x:v>ACLineSegment</x:v>
      </x:c>
      <x:c r="D22" s="20" t="str">
        <x:v>ACLINE-BWI-C3-T1</x:v>
      </x:c>
      <x:c r="E22" s="20" t="str">
        <x:v>CN-GIL-BWI-C3-LINE-END</x:v>
      </x:c>
      <x:c r="F22" s="20" t="str">
        <x:v>ACLINE-BWI-C3-T2</x:v>
      </x:c>
      <x:c r="G22" s="20" t="str">
        <x:v>CN-BWI-BWI-C3-BOUNDARY</x:v>
      </x:c>
      <x:c r="H22" s="20" t="str"/>
      <x:c r="I22" s="20" t="str">
        <x:v>SLD_AND_SOURCE_RECONCILED</x:v>
      </x:c>
      <x:c r="J22" s="40" t="n">
        <x:v>0.75</x:v>
      </x:c>
    </x:row>
    <x:row r="23">
      <x:c r="A23" s="20" t="str">
        <x:v>GIL-150-BWI-C4-DS-A</x:v>
      </x:c>
      <x:c r="B23" s="20" t="str">
        <x:v>DS BUS A BWI-C4</x:v>
      </x:c>
      <x:c r="C23" s="20" t="str">
        <x:v>Disconnector</x:v>
      </x:c>
      <x:c r="D23" s="20" t="str">
        <x:v>DS-GIL-BWI-C4-BUS-A-T1</x:v>
      </x:c>
      <x:c r="E23" s="20" t="str">
        <x:v>CN-GIL-BUS-A</x:v>
      </x:c>
      <x:c r="F23" s="20" t="str">
        <x:v>DS-GIL-BWI-C4-BUS-A-T2</x:v>
      </x:c>
      <x:c r="G23" s="20" t="str">
        <x:v>CN-GIL-BWI-C4-SELECT</x:v>
      </x:c>
      <x:c r="H23" s="46" t="b">
        <x:v>0</x:v>
      </x:c>
      <x:c r="I23" s="20" t="str">
        <x:v>ASSUMED</x:v>
      </x:c>
      <x:c r="J23" s="40" t="n">
        <x:v>0.65</x:v>
      </x:c>
    </x:row>
    <x:row r="24">
      <x:c r="A24" s="20" t="str">
        <x:v>GIL-150-BWI-C4-DS-B</x:v>
      </x:c>
      <x:c r="B24" s="20" t="str">
        <x:v>DS BUS B BWI-C4</x:v>
      </x:c>
      <x:c r="C24" s="20" t="str">
        <x:v>Disconnector</x:v>
      </x:c>
      <x:c r="D24" s="20" t="str">
        <x:v>DS-GIL-BWI-C4-BUS-B-T1</x:v>
      </x:c>
      <x:c r="E24" s="20" t="str">
        <x:v>CN-GIL-BUS-B</x:v>
      </x:c>
      <x:c r="F24" s="20" t="str">
        <x:v>DS-GIL-BWI-C4-BUS-B-T2</x:v>
      </x:c>
      <x:c r="G24" s="20" t="str">
        <x:v>CN-GIL-BWI-C4-SELECT</x:v>
      </x:c>
      <x:c r="H24" s="46" t="b">
        <x:v>0</x:v>
      </x:c>
      <x:c r="I24" s="20" t="str">
        <x:v>ASSUMED</x:v>
      </x:c>
      <x:c r="J24" s="40" t="n">
        <x:v>0.65</x:v>
      </x:c>
    </x:row>
    <x:row r="25">
      <x:c r="A25" s="20" t="str">
        <x:v>GIL-150-BWI-C4-CB</x:v>
      </x:c>
      <x:c r="B25" s="20" t="str">
        <x:v>CB BWI-C4</x:v>
      </x:c>
      <x:c r="C25" s="20" t="str">
        <x:v>Breaker</x:v>
      </x:c>
      <x:c r="D25" s="20" t="str">
        <x:v>CB-GIL-BWI-C4-T1</x:v>
      </x:c>
      <x:c r="E25" s="20" t="str">
        <x:v>CN-GIL-BWI-C4-SELECT</x:v>
      </x:c>
      <x:c r="F25" s="20" t="str">
        <x:v>CB-GIL-BWI-C4-T2</x:v>
      </x:c>
      <x:c r="G25" s="20" t="str">
        <x:v>CN-GIL-BWI-C4-CB-LINE</x:v>
      </x:c>
      <x:c r="H25" s="46" t="b">
        <x:v>0</x:v>
      </x:c>
      <x:c r="I25" s="20" t="str">
        <x:v>ASSUMED</x:v>
      </x:c>
      <x:c r="J25" s="40" t="n">
        <x:v>0.7</x:v>
      </x:c>
    </x:row>
    <x:row r="26">
      <x:c r="A26" s="20" t="str">
        <x:v>GIL-150-BWI-C4-DS-LINE</x:v>
      </x:c>
      <x:c r="B26" s="20" t="str">
        <x:v>DS LINE BWI-C4</x:v>
      </x:c>
      <x:c r="C26" s="20" t="str">
        <x:v>Disconnector</x:v>
      </x:c>
      <x:c r="D26" s="20" t="str">
        <x:v>DS-GIL-BWI-C4-LINE-T1</x:v>
      </x:c>
      <x:c r="E26" s="20" t="str">
        <x:v>CN-GIL-BWI-C4-CB-LINE</x:v>
      </x:c>
      <x:c r="F26" s="20" t="str">
        <x:v>DS-GIL-BWI-C4-LINE-T2</x:v>
      </x:c>
      <x:c r="G26" s="20" t="str">
        <x:v>CN-GIL-BWI-C4-LINE-END</x:v>
      </x:c>
      <x:c r="H26" s="46" t="b">
        <x:v>0</x:v>
      </x:c>
      <x:c r="I26" s="20" t="str">
        <x:v>ASSUMED</x:v>
      </x:c>
      <x:c r="J26" s="40" t="n">
        <x:v>0.65</x:v>
      </x:c>
    </x:row>
    <x:row r="27">
      <x:c r="A27" s="20" t="str">
        <x:v>GIL-BWI-150-C4</x:v>
      </x:c>
      <x:c r="B27" s="20" t="str">
        <x:v>AC LINE BWI-C4</x:v>
      </x:c>
      <x:c r="C27" s="20" t="str">
        <x:v>ACLineSegment</x:v>
      </x:c>
      <x:c r="D27" s="20" t="str">
        <x:v>ACLINE-BWI-C4-T1</x:v>
      </x:c>
      <x:c r="E27" s="20" t="str">
        <x:v>CN-GIL-BWI-C4-LINE-END</x:v>
      </x:c>
      <x:c r="F27" s="20" t="str">
        <x:v>ACLINE-BWI-C4-T2</x:v>
      </x:c>
      <x:c r="G27" s="20" t="str">
        <x:v>CN-BWI-BWI-C4-BOUNDARY</x:v>
      </x:c>
      <x:c r="H27" s="20" t="str"/>
      <x:c r="I27" s="20" t="str">
        <x:v>SLD_AND_SOURCE_RECONCILED</x:v>
      </x:c>
      <x:c r="J27" s="40" t="n">
        <x:v>0.75</x:v>
      </x:c>
    </x:row>
    <x:row r="28">
      <x:c r="A28" s="20" t="str">
        <x:v>GIL-150-NEG-C1-DS-A</x:v>
      </x:c>
      <x:c r="B28" s="20" t="str">
        <x:v>DS BUS A NEG-C1</x:v>
      </x:c>
      <x:c r="C28" s="20" t="str">
        <x:v>Disconnector</x:v>
      </x:c>
      <x:c r="D28" s="20" t="str">
        <x:v>DS-GIL-NEG-C1-BUS-A-T1</x:v>
      </x:c>
      <x:c r="E28" s="20" t="str">
        <x:v>CN-GIL-BUS-A</x:v>
      </x:c>
      <x:c r="F28" s="20" t="str">
        <x:v>DS-GIL-NEG-C1-BUS-A-T2</x:v>
      </x:c>
      <x:c r="G28" s="20" t="str">
        <x:v>CN-GIL-NEG-C1-SELECT</x:v>
      </x:c>
      <x:c r="H28" s="46" t="b">
        <x:v>0</x:v>
      </x:c>
      <x:c r="I28" s="20" t="str">
        <x:v>ASSUMED</x:v>
      </x:c>
      <x:c r="J28" s="40" t="n">
        <x:v>0.65</x:v>
      </x:c>
    </x:row>
    <x:row r="29">
      <x:c r="A29" s="20" t="str">
        <x:v>GIL-150-NEG-C1-DS-B</x:v>
      </x:c>
      <x:c r="B29" s="20" t="str">
        <x:v>DS BUS B NEG-C1</x:v>
      </x:c>
      <x:c r="C29" s="20" t="str">
        <x:v>Disconnector</x:v>
      </x:c>
      <x:c r="D29" s="20" t="str">
        <x:v>DS-GIL-NEG-C1-BUS-B-T1</x:v>
      </x:c>
      <x:c r="E29" s="20" t="str">
        <x:v>CN-GIL-BUS-B</x:v>
      </x:c>
      <x:c r="F29" s="20" t="str">
        <x:v>DS-GIL-NEG-C1-BUS-B-T2</x:v>
      </x:c>
      <x:c r="G29" s="20" t="str">
        <x:v>CN-GIL-NEG-C1-SELECT</x:v>
      </x:c>
      <x:c r="H29" s="46" t="b">
        <x:v>0</x:v>
      </x:c>
      <x:c r="I29" s="20" t="str">
        <x:v>ASSUMED</x:v>
      </x:c>
      <x:c r="J29" s="40" t="n">
        <x:v>0.65</x:v>
      </x:c>
    </x:row>
    <x:row r="30">
      <x:c r="A30" s="20" t="str">
        <x:v>GIL-150-NEG-C1-CB</x:v>
      </x:c>
      <x:c r="B30" s="20" t="str">
        <x:v>CB NEG-C1</x:v>
      </x:c>
      <x:c r="C30" s="20" t="str">
        <x:v>Breaker</x:v>
      </x:c>
      <x:c r="D30" s="20" t="str">
        <x:v>CB-GIL-NEG-C1-T1</x:v>
      </x:c>
      <x:c r="E30" s="20" t="str">
        <x:v>CN-GIL-NEG-C1-SELECT</x:v>
      </x:c>
      <x:c r="F30" s="20" t="str">
        <x:v>CB-GIL-NEG-C1-T2</x:v>
      </x:c>
      <x:c r="G30" s="20" t="str">
        <x:v>CN-GIL-NEG-C1-CB-LINE</x:v>
      </x:c>
      <x:c r="H30" s="46" t="b">
        <x:v>0</x:v>
      </x:c>
      <x:c r="I30" s="20" t="str">
        <x:v>ASSUMED</x:v>
      </x:c>
      <x:c r="J30" s="40" t="n">
        <x:v>0.7</x:v>
      </x:c>
    </x:row>
    <x:row r="31">
      <x:c r="A31" s="20" t="str">
        <x:v>GIL-150-NEG-C1-DS-LINE</x:v>
      </x:c>
      <x:c r="B31" s="20" t="str">
        <x:v>DS LINE NEG-C1</x:v>
      </x:c>
      <x:c r="C31" s="20" t="str">
        <x:v>Disconnector</x:v>
      </x:c>
      <x:c r="D31" s="20" t="str">
        <x:v>DS-GIL-NEG-C1-LINE-T1</x:v>
      </x:c>
      <x:c r="E31" s="20" t="str">
        <x:v>CN-GIL-NEG-C1-CB-LINE</x:v>
      </x:c>
      <x:c r="F31" s="20" t="str">
        <x:v>DS-GIL-NEG-C1-LINE-T2</x:v>
      </x:c>
      <x:c r="G31" s="20" t="str">
        <x:v>CN-GIL-NEG-C1-LINE-END</x:v>
      </x:c>
      <x:c r="H31" s="46" t="b">
        <x:v>0</x:v>
      </x:c>
      <x:c r="I31" s="20" t="str">
        <x:v>ASSUMED</x:v>
      </x:c>
      <x:c r="J31" s="40" t="n">
        <x:v>0.65</x:v>
      </x:c>
    </x:row>
    <x:row r="32">
      <x:c r="A32" s="20" t="str">
        <x:v>GIL-NEG-150-C1</x:v>
      </x:c>
      <x:c r="B32" s="20" t="str">
        <x:v>AC LINE NEG-C1</x:v>
      </x:c>
      <x:c r="C32" s="20" t="str">
        <x:v>ACLineSegment</x:v>
      </x:c>
      <x:c r="D32" s="20" t="str">
        <x:v>ACLINE-NEG-C1-T1</x:v>
      </x:c>
      <x:c r="E32" s="20" t="str">
        <x:v>CN-GIL-NEG-C1-LINE-END</x:v>
      </x:c>
      <x:c r="F32" s="20" t="str">
        <x:v>ACLINE-NEG-C1-T2</x:v>
      </x:c>
      <x:c r="G32" s="20" t="str">
        <x:v>CN-NEG-NEG-C1-BOUNDARY</x:v>
      </x:c>
      <x:c r="H32" s="20" t="str"/>
      <x:c r="I32" s="20" t="str">
        <x:v>SLD_AND_SOURCE_RECONCILED</x:v>
      </x:c>
      <x:c r="J32" s="40" t="n">
        <x:v>0.9</x:v>
      </x:c>
    </x:row>
    <x:row r="33">
      <x:c r="A33" s="20" t="str">
        <x:v>GIL-150-NEG-C2-DS-A</x:v>
      </x:c>
      <x:c r="B33" s="20" t="str">
        <x:v>DS BUS A NEG-C2</x:v>
      </x:c>
      <x:c r="C33" s="20" t="str">
        <x:v>Disconnector</x:v>
      </x:c>
      <x:c r="D33" s="20" t="str">
        <x:v>DS-GIL-NEG-C2-BUS-A-T1</x:v>
      </x:c>
      <x:c r="E33" s="20" t="str">
        <x:v>CN-GIL-BUS-A</x:v>
      </x:c>
      <x:c r="F33" s="20" t="str">
        <x:v>DS-GIL-NEG-C2-BUS-A-T2</x:v>
      </x:c>
      <x:c r="G33" s="20" t="str">
        <x:v>CN-GIL-NEG-C2-SELECT</x:v>
      </x:c>
      <x:c r="H33" s="46" t="b">
        <x:v>0</x:v>
      </x:c>
      <x:c r="I33" s="20" t="str">
        <x:v>ASSUMED</x:v>
      </x:c>
      <x:c r="J33" s="40" t="n">
        <x:v>0.65</x:v>
      </x:c>
    </x:row>
    <x:row r="34">
      <x:c r="A34" s="20" t="str">
        <x:v>GIL-150-NEG-C2-DS-B</x:v>
      </x:c>
      <x:c r="B34" s="20" t="str">
        <x:v>DS BUS B NEG-C2</x:v>
      </x:c>
      <x:c r="C34" s="20" t="str">
        <x:v>Disconnector</x:v>
      </x:c>
      <x:c r="D34" s="20" t="str">
        <x:v>DS-GIL-NEG-C2-BUS-B-T1</x:v>
      </x:c>
      <x:c r="E34" s="20" t="str">
        <x:v>CN-GIL-BUS-B</x:v>
      </x:c>
      <x:c r="F34" s="20" t="str">
        <x:v>DS-GIL-NEG-C2-BUS-B-T2</x:v>
      </x:c>
      <x:c r="G34" s="20" t="str">
        <x:v>CN-GIL-NEG-C2-SELECT</x:v>
      </x:c>
      <x:c r="H34" s="46" t="b">
        <x:v>0</x:v>
      </x:c>
      <x:c r="I34" s="20" t="str">
        <x:v>ASSUMED</x:v>
      </x:c>
      <x:c r="J34" s="40" t="n">
        <x:v>0.65</x:v>
      </x:c>
    </x:row>
    <x:row r="35">
      <x:c r="A35" s="20" t="str">
        <x:v>GIL-150-NEG-C2-CB</x:v>
      </x:c>
      <x:c r="B35" s="20" t="str">
        <x:v>CB NEG-C2</x:v>
      </x:c>
      <x:c r="C35" s="20" t="str">
        <x:v>Breaker</x:v>
      </x:c>
      <x:c r="D35" s="20" t="str">
        <x:v>CB-GIL-NEG-C2-T1</x:v>
      </x:c>
      <x:c r="E35" s="20" t="str">
        <x:v>CN-GIL-NEG-C2-SELECT</x:v>
      </x:c>
      <x:c r="F35" s="20" t="str">
        <x:v>CB-GIL-NEG-C2-T2</x:v>
      </x:c>
      <x:c r="G35" s="20" t="str">
        <x:v>CN-GIL-NEG-C2-CB-LINE</x:v>
      </x:c>
      <x:c r="H35" s="46" t="b">
        <x:v>0</x:v>
      </x:c>
      <x:c r="I35" s="20" t="str">
        <x:v>ASSUMED</x:v>
      </x:c>
      <x:c r="J35" s="40" t="n">
        <x:v>0.7</x:v>
      </x:c>
    </x:row>
    <x:row r="36">
      <x:c r="A36" s="20" t="str">
        <x:v>GIL-150-NEG-C2-DS-LINE</x:v>
      </x:c>
      <x:c r="B36" s="20" t="str">
        <x:v>DS LINE NEG-C2</x:v>
      </x:c>
      <x:c r="C36" s="20" t="str">
        <x:v>Disconnector</x:v>
      </x:c>
      <x:c r="D36" s="20" t="str">
        <x:v>DS-GIL-NEG-C2-LINE-T1</x:v>
      </x:c>
      <x:c r="E36" s="20" t="str">
        <x:v>CN-GIL-NEG-C2-CB-LINE</x:v>
      </x:c>
      <x:c r="F36" s="20" t="str">
        <x:v>DS-GIL-NEG-C2-LINE-T2</x:v>
      </x:c>
      <x:c r="G36" s="20" t="str">
        <x:v>CN-GIL-NEG-C2-LINE-END</x:v>
      </x:c>
      <x:c r="H36" s="46" t="b">
        <x:v>0</x:v>
      </x:c>
      <x:c r="I36" s="20" t="str">
        <x:v>ASSUMED</x:v>
      </x:c>
      <x:c r="J36" s="40" t="n">
        <x:v>0.65</x:v>
      </x:c>
    </x:row>
    <x:row r="37">
      <x:c r="A37" s="20" t="str">
        <x:v>GIL-NEG-150-C2</x:v>
      </x:c>
      <x:c r="B37" s="20" t="str">
        <x:v>AC LINE NEG-C2</x:v>
      </x:c>
      <x:c r="C37" s="20" t="str">
        <x:v>ACLineSegment</x:v>
      </x:c>
      <x:c r="D37" s="20" t="str">
        <x:v>ACLINE-NEG-C2-T1</x:v>
      </x:c>
      <x:c r="E37" s="20" t="str">
        <x:v>CN-GIL-NEG-C2-LINE-END</x:v>
      </x:c>
      <x:c r="F37" s="20" t="str">
        <x:v>ACLINE-NEG-C2-T2</x:v>
      </x:c>
      <x:c r="G37" s="20" t="str">
        <x:v>CN-NEG-NEG-C2-BOUNDARY</x:v>
      </x:c>
      <x:c r="H37" s="20" t="str"/>
      <x:c r="I37" s="20" t="str">
        <x:v>SLD_AND_SOURCE_RECONCILED</x:v>
      </x:c>
      <x:c r="J37" s="40" t="n">
        <x:v>0.9</x:v>
      </x:c>
    </x:row>
    <x:row r="38">
      <x:c r="A38" s="20" t="str">
        <x:v>GIL-150-CLB-C1-DS-A</x:v>
      </x:c>
      <x:c r="B38" s="20" t="str">
        <x:v>DS BUS A CLB-C1</x:v>
      </x:c>
      <x:c r="C38" s="20" t="str">
        <x:v>Disconnector</x:v>
      </x:c>
      <x:c r="D38" s="20" t="str">
        <x:v>DS-GIL-CLB-C1-BUS-A-T1</x:v>
      </x:c>
      <x:c r="E38" s="20" t="str">
        <x:v>CN-GIL-BUS-A</x:v>
      </x:c>
      <x:c r="F38" s="20" t="str">
        <x:v>DS-GIL-CLB-C1-BUS-A-T2</x:v>
      </x:c>
      <x:c r="G38" s="20" t="str">
        <x:v>CN-GIL-CLB-C1-SELECT</x:v>
      </x:c>
      <x:c r="H38" s="46" t="b">
        <x:v>0</x:v>
      </x:c>
      <x:c r="I38" s="20" t="str">
        <x:v>ASSUMED</x:v>
      </x:c>
      <x:c r="J38" s="40" t="n">
        <x:v>0.65</x:v>
      </x:c>
    </x:row>
    <x:row r="39">
      <x:c r="A39" s="20" t="str">
        <x:v>GIL-150-CLB-C1-DS-B</x:v>
      </x:c>
      <x:c r="B39" s="20" t="str">
        <x:v>DS BUS B CLB-C1</x:v>
      </x:c>
      <x:c r="C39" s="20" t="str">
        <x:v>Disconnector</x:v>
      </x:c>
      <x:c r="D39" s="20" t="str">
        <x:v>DS-GIL-CLB-C1-BUS-B-T1</x:v>
      </x:c>
      <x:c r="E39" s="20" t="str">
        <x:v>CN-GIL-BUS-B</x:v>
      </x:c>
      <x:c r="F39" s="20" t="str">
        <x:v>DS-GIL-CLB-C1-BUS-B-T2</x:v>
      </x:c>
      <x:c r="G39" s="20" t="str">
        <x:v>CN-GIL-CLB-C1-SELECT</x:v>
      </x:c>
      <x:c r="H39" s="46" t="b">
        <x:v>0</x:v>
      </x:c>
      <x:c r="I39" s="20" t="str">
        <x:v>ASSUMED</x:v>
      </x:c>
      <x:c r="J39" s="40" t="n">
        <x:v>0.65</x:v>
      </x:c>
    </x:row>
    <x:row r="40">
      <x:c r="A40" s="20" t="str">
        <x:v>GIL-150-CLB-C1-CB</x:v>
      </x:c>
      <x:c r="B40" s="20" t="str">
        <x:v>CB CLB-C1</x:v>
      </x:c>
      <x:c r="C40" s="20" t="str">
        <x:v>Breaker</x:v>
      </x:c>
      <x:c r="D40" s="20" t="str">
        <x:v>CB-GIL-CLB-C1-T1</x:v>
      </x:c>
      <x:c r="E40" s="20" t="str">
        <x:v>CN-GIL-CLB-C1-SELECT</x:v>
      </x:c>
      <x:c r="F40" s="20" t="str">
        <x:v>CB-GIL-CLB-C1-T2</x:v>
      </x:c>
      <x:c r="G40" s="20" t="str">
        <x:v>CN-GIL-CLB-C1-CB-LINE</x:v>
      </x:c>
      <x:c r="H40" s="46" t="b">
        <x:v>0</x:v>
      </x:c>
      <x:c r="I40" s="20" t="str">
        <x:v>ASSUMED</x:v>
      </x:c>
      <x:c r="J40" s="40" t="n">
        <x:v>0.7</x:v>
      </x:c>
    </x:row>
    <x:row r="41">
      <x:c r="A41" s="20" t="str">
        <x:v>GIL-150-CLB-C1-DS-LINE</x:v>
      </x:c>
      <x:c r="B41" s="20" t="str">
        <x:v>DS LINE CLB-C1</x:v>
      </x:c>
      <x:c r="C41" s="20" t="str">
        <x:v>Disconnector</x:v>
      </x:c>
      <x:c r="D41" s="20" t="str">
        <x:v>DS-GIL-CLB-C1-LINE-T1</x:v>
      </x:c>
      <x:c r="E41" s="20" t="str">
        <x:v>CN-GIL-CLB-C1-CB-LINE</x:v>
      </x:c>
      <x:c r="F41" s="20" t="str">
        <x:v>DS-GIL-CLB-C1-LINE-T2</x:v>
      </x:c>
      <x:c r="G41" s="20" t="str">
        <x:v>CN-GIL-CLB-C1-LINE-END</x:v>
      </x:c>
      <x:c r="H41" s="46" t="b">
        <x:v>0</x:v>
      </x:c>
      <x:c r="I41" s="20" t="str">
        <x:v>ASSUMED</x:v>
      </x:c>
      <x:c r="J41" s="40" t="n">
        <x:v>0.65</x:v>
      </x:c>
    </x:row>
    <x:row r="42">
      <x:c r="A42" s="20" t="str">
        <x:v>GIL-CLB-150-C1</x:v>
      </x:c>
      <x:c r="B42" s="20" t="str">
        <x:v>AC LINE CLB-C1</x:v>
      </x:c>
      <x:c r="C42" s="20" t="str">
        <x:v>ACLineSegment</x:v>
      </x:c>
      <x:c r="D42" s="20" t="str">
        <x:v>ACLINE-CLB-C1-T1</x:v>
      </x:c>
      <x:c r="E42" s="20" t="str">
        <x:v>CN-GIL-CLB-C1-LINE-END</x:v>
      </x:c>
      <x:c r="F42" s="20" t="str">
        <x:v>ACLINE-CLB-C1-T2</x:v>
      </x:c>
      <x:c r="G42" s="20" t="str">
        <x:v>CN-CLB-CLB-C1-BOUNDARY</x:v>
      </x:c>
      <x:c r="H42" s="20" t="str"/>
      <x:c r="I42" s="20" t="str">
        <x:v>SLD_AND_SOURCE_RECONCILED</x:v>
      </x:c>
      <x:c r="J42" s="40" t="n">
        <x:v>0.55</x:v>
      </x:c>
    </x:row>
    <x:row r="43">
      <x:c r="A43" s="20" t="str">
        <x:v>GIL-150-CLB-C2-DS-A</x:v>
      </x:c>
      <x:c r="B43" s="20" t="str">
        <x:v>DS BUS A CLB-C2</x:v>
      </x:c>
      <x:c r="C43" s="20" t="str">
        <x:v>Disconnector</x:v>
      </x:c>
      <x:c r="D43" s="20" t="str">
        <x:v>DS-GIL-CLB-C2-BUS-A-T1</x:v>
      </x:c>
      <x:c r="E43" s="20" t="str">
        <x:v>CN-GIL-BUS-A</x:v>
      </x:c>
      <x:c r="F43" s="20" t="str">
        <x:v>DS-GIL-CLB-C2-BUS-A-T2</x:v>
      </x:c>
      <x:c r="G43" s="20" t="str">
        <x:v>CN-GIL-CLB-C2-SELECT</x:v>
      </x:c>
      <x:c r="H43" s="46" t="b">
        <x:v>0</x:v>
      </x:c>
      <x:c r="I43" s="20" t="str">
        <x:v>ASSUMED</x:v>
      </x:c>
      <x:c r="J43" s="40" t="n">
        <x:v>0.65</x:v>
      </x:c>
    </x:row>
    <x:row r="44">
      <x:c r="A44" s="20" t="str">
        <x:v>GIL-150-CLB-C2-DS-B</x:v>
      </x:c>
      <x:c r="B44" s="20" t="str">
        <x:v>DS BUS B CLB-C2</x:v>
      </x:c>
      <x:c r="C44" s="20" t="str">
        <x:v>Disconnector</x:v>
      </x:c>
      <x:c r="D44" s="20" t="str">
        <x:v>DS-GIL-CLB-C2-BUS-B-T1</x:v>
      </x:c>
      <x:c r="E44" s="20" t="str">
        <x:v>CN-GIL-BUS-B</x:v>
      </x:c>
      <x:c r="F44" s="20" t="str">
        <x:v>DS-GIL-CLB-C2-BUS-B-T2</x:v>
      </x:c>
      <x:c r="G44" s="20" t="str">
        <x:v>CN-GIL-CLB-C2-SELECT</x:v>
      </x:c>
      <x:c r="H44" s="46" t="b">
        <x:v>0</x:v>
      </x:c>
      <x:c r="I44" s="20" t="str">
        <x:v>ASSUMED</x:v>
      </x:c>
      <x:c r="J44" s="40" t="n">
        <x:v>0.65</x:v>
      </x:c>
    </x:row>
    <x:row r="45">
      <x:c r="A45" s="20" t="str">
        <x:v>GIL-150-CLB-C2-CB</x:v>
      </x:c>
      <x:c r="B45" s="20" t="str">
        <x:v>CB CLB-C2</x:v>
      </x:c>
      <x:c r="C45" s="20" t="str">
        <x:v>Breaker</x:v>
      </x:c>
      <x:c r="D45" s="20" t="str">
        <x:v>CB-GIL-CLB-C2-T1</x:v>
      </x:c>
      <x:c r="E45" s="20" t="str">
        <x:v>CN-GIL-CLB-C2-SELECT</x:v>
      </x:c>
      <x:c r="F45" s="20" t="str">
        <x:v>CB-GIL-CLB-C2-T2</x:v>
      </x:c>
      <x:c r="G45" s="20" t="str">
        <x:v>CN-GIL-CLB-C2-CB-LINE</x:v>
      </x:c>
      <x:c r="H45" s="46" t="b">
        <x:v>0</x:v>
      </x:c>
      <x:c r="I45" s="20" t="str">
        <x:v>ASSUMED</x:v>
      </x:c>
      <x:c r="J45" s="40" t="n">
        <x:v>0.7</x:v>
      </x:c>
    </x:row>
    <x:row r="46">
      <x:c r="A46" s="20" t="str">
        <x:v>GIL-150-CLB-C2-DS-LINE</x:v>
      </x:c>
      <x:c r="B46" s="20" t="str">
        <x:v>DS LINE CLB-C2</x:v>
      </x:c>
      <x:c r="C46" s="20" t="str">
        <x:v>Disconnector</x:v>
      </x:c>
      <x:c r="D46" s="20" t="str">
        <x:v>DS-GIL-CLB-C2-LINE-T1</x:v>
      </x:c>
      <x:c r="E46" s="20" t="str">
        <x:v>CN-GIL-CLB-C2-CB-LINE</x:v>
      </x:c>
      <x:c r="F46" s="20" t="str">
        <x:v>DS-GIL-CLB-C2-LINE-T2</x:v>
      </x:c>
      <x:c r="G46" s="20" t="str">
        <x:v>CN-GIL-CLB-C2-LINE-END</x:v>
      </x:c>
      <x:c r="H46" s="46" t="b">
        <x:v>0</x:v>
      </x:c>
      <x:c r="I46" s="20" t="str">
        <x:v>ASSUMED</x:v>
      </x:c>
      <x:c r="J46" s="40" t="n">
        <x:v>0.65</x:v>
      </x:c>
    </x:row>
    <x:row r="47">
      <x:c r="A47" s="20" t="str">
        <x:v>GIL-CLB-150-C2</x:v>
      </x:c>
      <x:c r="B47" s="20" t="str">
        <x:v>AC LINE CLB-C2</x:v>
      </x:c>
      <x:c r="C47" s="20" t="str">
        <x:v>ACLineSegment</x:v>
      </x:c>
      <x:c r="D47" s="20" t="str">
        <x:v>ACLINE-CLB-C2-T1</x:v>
      </x:c>
      <x:c r="E47" s="20" t="str">
        <x:v>CN-GIL-CLB-C2-LINE-END</x:v>
      </x:c>
      <x:c r="F47" s="20" t="str">
        <x:v>ACLINE-CLB-C2-T2</x:v>
      </x:c>
      <x:c r="G47" s="20" t="str">
        <x:v>CN-CLB-CLB-C2-BOUNDARY</x:v>
      </x:c>
      <x:c r="H47" s="20" t="str"/>
      <x:c r="I47" s="20" t="str">
        <x:v>SLD_AND_SOURCE_RECONCILED</x:v>
      </x:c>
      <x:c r="J47" s="40" t="n">
        <x:v>0.55</x:v>
      </x:c>
    </x:row>
    <x:row r="48">
      <x:c r="A48" s="20" t="str">
        <x:v>GIL-150-PMR-C1-DS-A</x:v>
      </x:c>
      <x:c r="B48" s="20" t="str">
        <x:v>DS BUS A PMR-C1</x:v>
      </x:c>
      <x:c r="C48" s="20" t="str">
        <x:v>Disconnector</x:v>
      </x:c>
      <x:c r="D48" s="20" t="str">
        <x:v>DS-GIL-PMR-C1-BUS-A-T1</x:v>
      </x:c>
      <x:c r="E48" s="20" t="str">
        <x:v>CN-GIL-BUS-A</x:v>
      </x:c>
      <x:c r="F48" s="20" t="str">
        <x:v>DS-GIL-PMR-C1-BUS-A-T2</x:v>
      </x:c>
      <x:c r="G48" s="20" t="str">
        <x:v>CN-GIL-PMR-C1-SELECT</x:v>
      </x:c>
      <x:c r="H48" s="46" t="b">
        <x:v>0</x:v>
      </x:c>
      <x:c r="I48" s="20" t="str">
        <x:v>ASSUMED</x:v>
      </x:c>
      <x:c r="J48" s="40" t="n">
        <x:v>0.65</x:v>
      </x:c>
    </x:row>
    <x:row r="49">
      <x:c r="A49" s="20" t="str">
        <x:v>GIL-150-PMR-C1-DS-B</x:v>
      </x:c>
      <x:c r="B49" s="20" t="str">
        <x:v>DS BUS B PMR-C1</x:v>
      </x:c>
      <x:c r="C49" s="20" t="str">
        <x:v>Disconnector</x:v>
      </x:c>
      <x:c r="D49" s="20" t="str">
        <x:v>DS-GIL-PMR-C1-BUS-B-T1</x:v>
      </x:c>
      <x:c r="E49" s="20" t="str">
        <x:v>CN-GIL-BUS-B</x:v>
      </x:c>
      <x:c r="F49" s="20" t="str">
        <x:v>DS-GIL-PMR-C1-BUS-B-T2</x:v>
      </x:c>
      <x:c r="G49" s="20" t="str">
        <x:v>CN-GIL-PMR-C1-SELECT</x:v>
      </x:c>
      <x:c r="H49" s="46" t="b">
        <x:v>0</x:v>
      </x:c>
      <x:c r="I49" s="20" t="str">
        <x:v>ASSUMED</x:v>
      </x:c>
      <x:c r="J49" s="40" t="n">
        <x:v>0.65</x:v>
      </x:c>
    </x:row>
    <x:row r="50">
      <x:c r="A50" s="20" t="str">
        <x:v>GIL-150-PMR-C1-CB</x:v>
      </x:c>
      <x:c r="B50" s="20" t="str">
        <x:v>CB PMR-C1</x:v>
      </x:c>
      <x:c r="C50" s="20" t="str">
        <x:v>Breaker</x:v>
      </x:c>
      <x:c r="D50" s="20" t="str">
        <x:v>CB-GIL-PMR-C1-T1</x:v>
      </x:c>
      <x:c r="E50" s="20" t="str">
        <x:v>CN-GIL-PMR-C1-SELECT</x:v>
      </x:c>
      <x:c r="F50" s="20" t="str">
        <x:v>CB-GIL-PMR-C1-T2</x:v>
      </x:c>
      <x:c r="G50" s="20" t="str">
        <x:v>CN-GIL-PMR-C1-CB-LINE</x:v>
      </x:c>
      <x:c r="H50" s="46" t="b">
        <x:v>0</x:v>
      </x:c>
      <x:c r="I50" s="20" t="str">
        <x:v>ASSUMED</x:v>
      </x:c>
      <x:c r="J50" s="40" t="n">
        <x:v>0.7</x:v>
      </x:c>
    </x:row>
    <x:row r="51">
      <x:c r="A51" s="20" t="str">
        <x:v>GIL-150-PMR-C1-DS-LINE</x:v>
      </x:c>
      <x:c r="B51" s="20" t="str">
        <x:v>DS LINE PMR-C1</x:v>
      </x:c>
      <x:c r="C51" s="20" t="str">
        <x:v>Disconnector</x:v>
      </x:c>
      <x:c r="D51" s="20" t="str">
        <x:v>DS-GIL-PMR-C1-LINE-T1</x:v>
      </x:c>
      <x:c r="E51" s="20" t="str">
        <x:v>CN-GIL-PMR-C1-CB-LINE</x:v>
      </x:c>
      <x:c r="F51" s="20" t="str">
        <x:v>DS-GIL-PMR-C1-LINE-T2</x:v>
      </x:c>
      <x:c r="G51" s="20" t="str">
        <x:v>CN-GIL-PMR-C1-LINE-END</x:v>
      </x:c>
      <x:c r="H51" s="46" t="b">
        <x:v>0</x:v>
      </x:c>
      <x:c r="I51" s="20" t="str">
        <x:v>ASSUMED</x:v>
      </x:c>
      <x:c r="J51" s="40" t="n">
        <x:v>0.65</x:v>
      </x:c>
    </x:row>
    <x:row r="52">
      <x:c r="A52" s="20" t="str">
        <x:v>GIL-PMR-150-C1</x:v>
      </x:c>
      <x:c r="B52" s="20" t="str">
        <x:v>AC LINE PMR-C1</x:v>
      </x:c>
      <x:c r="C52" s="20" t="str">
        <x:v>ACLineSegment</x:v>
      </x:c>
      <x:c r="D52" s="20" t="str">
        <x:v>ACLINE-PMR-C1-T1</x:v>
      </x:c>
      <x:c r="E52" s="20" t="str">
        <x:v>CN-GIL-PMR-C1-LINE-END</x:v>
      </x:c>
      <x:c r="F52" s="20" t="str">
        <x:v>ACLINE-PMR-C1-T2</x:v>
      </x:c>
      <x:c r="G52" s="20" t="str">
        <x:v>CN-PMR-PMR-C1-BOUNDARY</x:v>
      </x:c>
      <x:c r="H52" s="20" t="str"/>
      <x:c r="I52" s="20" t="str">
        <x:v>SLD_AND_SOURCE_RECONCILED</x:v>
      </x:c>
      <x:c r="J52" s="40" t="n">
        <x:v>0.7</x:v>
      </x:c>
    </x:row>
    <x:row r="53">
      <x:c r="A53" s="20" t="str">
        <x:v>GIL-150-TRF1-DS-A</x:v>
      </x:c>
      <x:c r="B53" s="20" t="str">
        <x:v>DS BUS A TRF1</x:v>
      </x:c>
      <x:c r="C53" s="20" t="str">
        <x:v>Disconnector</x:v>
      </x:c>
      <x:c r="D53" s="20" t="str">
        <x:v>DS-GIL-TRF1-BUS-A-T1</x:v>
      </x:c>
      <x:c r="E53" s="20" t="str">
        <x:v>CN-GIL-BUS-A</x:v>
      </x:c>
      <x:c r="F53" s="20" t="str">
        <x:v>DS-GIL-TRF1-BUS-A-T2</x:v>
      </x:c>
      <x:c r="G53" s="20" t="str">
        <x:v>CN-GIL-TRF1-SELECT</x:v>
      </x:c>
      <x:c r="H53" s="46" t="b">
        <x:v>0</x:v>
      </x:c>
      <x:c r="I53" s="20" t="str">
        <x:v>ASSUMED</x:v>
      </x:c>
      <x:c r="J53" s="40" t="n">
        <x:v>0.65</x:v>
      </x:c>
    </x:row>
    <x:row r="54">
      <x:c r="A54" s="20" t="str">
        <x:v>GIL-150-TRF1-DS-B</x:v>
      </x:c>
      <x:c r="B54" s="20" t="str">
        <x:v>DS BUS B TRF1</x:v>
      </x:c>
      <x:c r="C54" s="20" t="str">
        <x:v>Disconnector</x:v>
      </x:c>
      <x:c r="D54" s="20" t="str">
        <x:v>DS-GIL-TRF1-BUS-B-T1</x:v>
      </x:c>
      <x:c r="E54" s="20" t="str">
        <x:v>CN-GIL-BUS-B</x:v>
      </x:c>
      <x:c r="F54" s="20" t="str">
        <x:v>DS-GIL-TRF1-BUS-B-T2</x:v>
      </x:c>
      <x:c r="G54" s="20" t="str">
        <x:v>CN-GIL-TRF1-SELECT</x:v>
      </x:c>
      <x:c r="H54" s="46" t="b">
        <x:v>0</x:v>
      </x:c>
      <x:c r="I54" s="20" t="str">
        <x:v>ASSUMED</x:v>
      </x:c>
      <x:c r="J54" s="40" t="n">
        <x:v>0.65</x:v>
      </x:c>
    </x:row>
    <x:row r="55">
      <x:c r="A55" s="20" t="str">
        <x:v>GIL-150-TRF1-CB</x:v>
      </x:c>
      <x:c r="B55" s="20" t="str">
        <x:v>CB TRF1</x:v>
      </x:c>
      <x:c r="C55" s="20" t="str">
        <x:v>Breaker</x:v>
      </x:c>
      <x:c r="D55" s="20" t="str">
        <x:v>CB-GIL-TRF1-T1</x:v>
      </x:c>
      <x:c r="E55" s="20" t="str">
        <x:v>CN-GIL-TRF1-SELECT</x:v>
      </x:c>
      <x:c r="F55" s="20" t="str">
        <x:v>CB-GIL-TRF1-T2</x:v>
      </x:c>
      <x:c r="G55" s="20" t="str">
        <x:v>CN-GIL-TRF1-CB-OUT</x:v>
      </x:c>
      <x:c r="H55" s="46" t="b">
        <x:v>0</x:v>
      </x:c>
      <x:c r="I55" s="20" t="str">
        <x:v>ASSUMED</x:v>
      </x:c>
      <x:c r="J55" s="40" t="n">
        <x:v>0.7</x:v>
      </x:c>
    </x:row>
    <x:row r="56">
      <x:c r="A56" s="20" t="str">
        <x:v>GIL-150-TRF1-DS-TRF</x:v>
      </x:c>
      <x:c r="B56" s="20" t="str">
        <x:v>DS TRANSFORMER TRF1</x:v>
      </x:c>
      <x:c r="C56" s="20" t="str">
        <x:v>Disconnector</x:v>
      </x:c>
      <x:c r="D56" s="20" t="str">
        <x:v>DS-GIL-TRF1-TRF-T1</x:v>
      </x:c>
      <x:c r="E56" s="20" t="str">
        <x:v>CN-GIL-TRF1-CB-OUT</x:v>
      </x:c>
      <x:c r="F56" s="20" t="str">
        <x:v>DS-GIL-TRF1-TRF-T2</x:v>
      </x:c>
      <x:c r="G56" s="20" t="str">
        <x:v>CN-GIL-TRF1-HV</x:v>
      </x:c>
      <x:c r="H56" s="46" t="b">
        <x:v>0</x:v>
      </x:c>
      <x:c r="I56" s="20" t="str">
        <x:v>ASSUMED</x:v>
      </x:c>
      <x:c r="J56" s="40" t="n">
        <x:v>0.65</x:v>
      </x:c>
    </x:row>
    <x:row r="57">
      <x:c r="A57" s="20" t="str">
        <x:v>GIL-TRF1-150-20</x:v>
      </x:c>
      <x:c r="B57" s="20" t="str">
        <x:v>TRF 1 GILIMANUK</x:v>
      </x:c>
      <x:c r="C57" s="20" t="str">
        <x:v>PowerTransformer</x:v>
      </x:c>
      <x:c r="D57" s="20" t="str">
        <x:v>TRF-TRF1-T1</x:v>
      </x:c>
      <x:c r="E57" s="20" t="str">
        <x:v>CN-GIL-TRF1-HV</x:v>
      </x:c>
      <x:c r="F57" s="20" t="str">
        <x:v>TRF-TRF1-T2</x:v>
      </x:c>
      <x:c r="G57" s="20" t="str">
        <x:v>CN-GIL-20-BUS</x:v>
      </x:c>
      <x:c r="H57" s="20" t="str"/>
      <x:c r="I57" s="20" t="str">
        <x:v>SLD_AND_SOURCE_RECONCILED</x:v>
      </x:c>
      <x:c r="J57" s="40" t="n">
        <x:v>0.9</x:v>
      </x:c>
    </x:row>
    <x:row r="58">
      <x:c r="A58" s="20" t="str">
        <x:v>GIL-150-TRF2-DS-A</x:v>
      </x:c>
      <x:c r="B58" s="20" t="str">
        <x:v>DS BUS A TRF2</x:v>
      </x:c>
      <x:c r="C58" s="20" t="str">
        <x:v>Disconnector</x:v>
      </x:c>
      <x:c r="D58" s="20" t="str">
        <x:v>DS-GIL-TRF2-BUS-A-T1</x:v>
      </x:c>
      <x:c r="E58" s="20" t="str">
        <x:v>CN-GIL-BUS-A</x:v>
      </x:c>
      <x:c r="F58" s="20" t="str">
        <x:v>DS-GIL-TRF2-BUS-A-T2</x:v>
      </x:c>
      <x:c r="G58" s="20" t="str">
        <x:v>CN-GIL-TRF2-SELECT</x:v>
      </x:c>
      <x:c r="H58" s="46" t="b">
        <x:v>0</x:v>
      </x:c>
      <x:c r="I58" s="20" t="str">
        <x:v>ASSUMED</x:v>
      </x:c>
      <x:c r="J58" s="40" t="n">
        <x:v>0.65</x:v>
      </x:c>
    </x:row>
    <x:row r="59">
      <x:c r="A59" s="20" t="str">
        <x:v>GIL-150-TRF2-DS-B</x:v>
      </x:c>
      <x:c r="B59" s="20" t="str">
        <x:v>DS BUS B TRF2</x:v>
      </x:c>
      <x:c r="C59" s="20" t="str">
        <x:v>Disconnector</x:v>
      </x:c>
      <x:c r="D59" s="20" t="str">
        <x:v>DS-GIL-TRF2-BUS-B-T1</x:v>
      </x:c>
      <x:c r="E59" s="20" t="str">
        <x:v>CN-GIL-BUS-B</x:v>
      </x:c>
      <x:c r="F59" s="20" t="str">
        <x:v>DS-GIL-TRF2-BUS-B-T2</x:v>
      </x:c>
      <x:c r="G59" s="20" t="str">
        <x:v>CN-GIL-TRF2-SELECT</x:v>
      </x:c>
      <x:c r="H59" s="46" t="b">
        <x:v>0</x:v>
      </x:c>
      <x:c r="I59" s="20" t="str">
        <x:v>ASSUMED</x:v>
      </x:c>
      <x:c r="J59" s="40" t="n">
        <x:v>0.65</x:v>
      </x:c>
    </x:row>
    <x:row r="60">
      <x:c r="A60" s="20" t="str">
        <x:v>GIL-150-TRF2-CB</x:v>
      </x:c>
      <x:c r="B60" s="20" t="str">
        <x:v>CB TRF2</x:v>
      </x:c>
      <x:c r="C60" s="20" t="str">
        <x:v>Breaker</x:v>
      </x:c>
      <x:c r="D60" s="20" t="str">
        <x:v>CB-GIL-TRF2-T1</x:v>
      </x:c>
      <x:c r="E60" s="20" t="str">
        <x:v>CN-GIL-TRF2-SELECT</x:v>
      </x:c>
      <x:c r="F60" s="20" t="str">
        <x:v>CB-GIL-TRF2-T2</x:v>
      </x:c>
      <x:c r="G60" s="20" t="str">
        <x:v>CN-GIL-TRF2-CB-OUT</x:v>
      </x:c>
      <x:c r="H60" s="46" t="b">
        <x:v>0</x:v>
      </x:c>
      <x:c r="I60" s="20" t="str">
        <x:v>ASSUMED</x:v>
      </x:c>
      <x:c r="J60" s="40" t="n">
        <x:v>0.7</x:v>
      </x:c>
    </x:row>
    <x:row r="61">
      <x:c r="A61" s="20" t="str">
        <x:v>GIL-150-TRF2-DS-TRF</x:v>
      </x:c>
      <x:c r="B61" s="20" t="str">
        <x:v>DS TRANSFORMER TRF2</x:v>
      </x:c>
      <x:c r="C61" s="20" t="str">
        <x:v>Disconnector</x:v>
      </x:c>
      <x:c r="D61" s="20" t="str">
        <x:v>DS-GIL-TRF2-TRF-T1</x:v>
      </x:c>
      <x:c r="E61" s="20" t="str">
        <x:v>CN-GIL-TRF2-CB-OUT</x:v>
      </x:c>
      <x:c r="F61" s="20" t="str">
        <x:v>DS-GIL-TRF2-TRF-T2</x:v>
      </x:c>
      <x:c r="G61" s="20" t="str">
        <x:v>CN-GIL-TRF2-HV</x:v>
      </x:c>
      <x:c r="H61" s="46" t="b">
        <x:v>0</x:v>
      </x:c>
      <x:c r="I61" s="20" t="str">
        <x:v>ASSUMED</x:v>
      </x:c>
      <x:c r="J61" s="40" t="n">
        <x:v>0.65</x:v>
      </x:c>
    </x:row>
    <x:row r="62">
      <x:c r="A62" s="20" t="str">
        <x:v>GIL-TRF2-150-20</x:v>
      </x:c>
      <x:c r="B62" s="20" t="str">
        <x:v>TRF 2 GILIMANUK</x:v>
      </x:c>
      <x:c r="C62" s="20" t="str">
        <x:v>PowerTransformer</x:v>
      </x:c>
      <x:c r="D62" s="20" t="str">
        <x:v>TRF-TRF2-T1</x:v>
      </x:c>
      <x:c r="E62" s="20" t="str">
        <x:v>CN-GIL-TRF2-HV</x:v>
      </x:c>
      <x:c r="F62" s="20" t="str">
        <x:v>TRF-TRF2-T2</x:v>
      </x:c>
      <x:c r="G62" s="20" t="str">
        <x:v>CN-GIL-20-BUS</x:v>
      </x:c>
      <x:c r="H62" s="20" t="str"/>
      <x:c r="I62" s="20" t="str">
        <x:v>SLD_AND_SOURCE_RECONCILED</x:v>
      </x:c>
      <x:c r="J62" s="40" t="n">
        <x:v>0.85</x:v>
      </x:c>
    </x:row>
    <x:row r="63">
      <x:c r="A63" s="20" t="str">
        <x:v>GIL-150-GEN1-DS-A</x:v>
      </x:c>
      <x:c r="B63" s="20" t="str">
        <x:v>DS BUS A GEN1</x:v>
      </x:c>
      <x:c r="C63" s="20" t="str">
        <x:v>Disconnector</x:v>
      </x:c>
      <x:c r="D63" s="20" t="str">
        <x:v>DS-GIL-GEN1-BUS-A-T1</x:v>
      </x:c>
      <x:c r="E63" s="20" t="str">
        <x:v>CN-GIL-BUS-A</x:v>
      </x:c>
      <x:c r="F63" s="20" t="str">
        <x:v>DS-GIL-GEN1-BUS-A-T2</x:v>
      </x:c>
      <x:c r="G63" s="20" t="str">
        <x:v>CN-GIL-GEN1-SELECT</x:v>
      </x:c>
      <x:c r="H63" s="46" t="b">
        <x:v>0</x:v>
      </x:c>
      <x:c r="I63" s="20" t="str">
        <x:v>ASSUMED</x:v>
      </x:c>
      <x:c r="J63" s="40" t="n">
        <x:v>0.55</x:v>
      </x:c>
    </x:row>
    <x:row r="64">
      <x:c r="A64" s="20" t="str">
        <x:v>GIL-150-GEN1-DS-B</x:v>
      </x:c>
      <x:c r="B64" s="20" t="str">
        <x:v>DS BUS B GEN1</x:v>
      </x:c>
      <x:c r="C64" s="20" t="str">
        <x:v>Disconnector</x:v>
      </x:c>
      <x:c r="D64" s="20" t="str">
        <x:v>DS-GIL-GEN1-BUS-B-T1</x:v>
      </x:c>
      <x:c r="E64" s="20" t="str">
        <x:v>CN-GIL-BUS-B</x:v>
      </x:c>
      <x:c r="F64" s="20" t="str">
        <x:v>DS-GIL-GEN1-BUS-B-T2</x:v>
      </x:c>
      <x:c r="G64" s="20" t="str">
        <x:v>CN-GIL-GEN1-SELECT</x:v>
      </x:c>
      <x:c r="H64" s="46" t="b">
        <x:v>0</x:v>
      </x:c>
      <x:c r="I64" s="20" t="str">
        <x:v>ASSUMED</x:v>
      </x:c>
      <x:c r="J64" s="40" t="n">
        <x:v>0.55</x:v>
      </x:c>
    </x:row>
    <x:row r="65">
      <x:c r="A65" s="20" t="str">
        <x:v>GIL-150-GEN1-CB</x:v>
      </x:c>
      <x:c r="B65" s="20" t="str">
        <x:v>CB GEN1</x:v>
      </x:c>
      <x:c r="C65" s="20" t="str">
        <x:v>Breaker</x:v>
      </x:c>
      <x:c r="D65" s="20" t="str">
        <x:v>CB-GIL-GEN1-T1</x:v>
      </x:c>
      <x:c r="E65" s="20" t="str">
        <x:v>CN-GIL-GEN1-SELECT</x:v>
      </x:c>
      <x:c r="F65" s="20" t="str">
        <x:v>CB-GIL-GEN1-T2</x:v>
      </x:c>
      <x:c r="G65" s="20" t="str">
        <x:v>CN-GIL-GEN1-CB-OUT</x:v>
      </x:c>
      <x:c r="H65" s="46" t="b">
        <x:v>0</x:v>
      </x:c>
      <x:c r="I65" s="20" t="str">
        <x:v>ASSUMED</x:v>
      </x:c>
      <x:c r="J65" s="40" t="n">
        <x:v>0.6</x:v>
      </x:c>
    </x:row>
    <x:row r="66">
      <x:c r="A66" s="20" t="str">
        <x:v>GIL-150-GEN1-DS-GSU</x:v>
      </x:c>
      <x:c r="B66" s="20" t="str">
        <x:v>DS GSU GEN1</x:v>
      </x:c>
      <x:c r="C66" s="20" t="str">
        <x:v>Disconnector</x:v>
      </x:c>
      <x:c r="D66" s="20" t="str">
        <x:v>DS-GIL-GEN1-GSU-T1</x:v>
      </x:c>
      <x:c r="E66" s="20" t="str">
        <x:v>CN-GIL-GEN1-CB-OUT</x:v>
      </x:c>
      <x:c r="F66" s="20" t="str">
        <x:v>DS-GIL-GEN1-GSU-T2</x:v>
      </x:c>
      <x:c r="G66" s="20" t="str">
        <x:v>CN-GIL-GEN1-HV</x:v>
      </x:c>
      <x:c r="H66" s="46" t="b">
        <x:v>0</x:v>
      </x:c>
      <x:c r="I66" s="20" t="str">
        <x:v>ASSUMED</x:v>
      </x:c>
      <x:c r="J66" s="40" t="n">
        <x:v>0.55</x:v>
      </x:c>
    </x:row>
    <x:row r="67">
      <x:c r="A67" s="20" t="str">
        <x:v>GIL-GEN1-GSU</x:v>
      </x:c>
      <x:c r="B67" s="20" t="str">
        <x:v>GSU PLTG GILIMANUK UNIT 1</x:v>
      </x:c>
      <x:c r="C67" s="20" t="str">
        <x:v>PowerTransformer</x:v>
      </x:c>
      <x:c r="D67" s="20" t="str">
        <x:v>TRF-GEN1-GSU-T1</x:v>
      </x:c>
      <x:c r="E67" s="20" t="str">
        <x:v>CN-GIL-GEN1-HV</x:v>
      </x:c>
      <x:c r="F67" s="20" t="str">
        <x:v>TRF-GEN1-GSU-T2</x:v>
      </x:c>
      <x:c r="G67" s="20" t="str">
        <x:v>CN-GIL-GEN1-LV</x:v>
      </x:c>
      <x:c r="H67" s="20" t="str"/>
      <x:c r="I67" s="20" t="str">
        <x:v>ASSUMED</x:v>
      </x:c>
      <x:c r="J67" s="40" t="n">
        <x:v>0.4</x:v>
      </x:c>
    </x:row>
    <x:row r="68">
      <x:c r="A68" s="20" t="str">
        <x:v>GIL-GEN1-SM</x:v>
      </x:c>
      <x:c r="B68" s="20" t="str">
        <x:v>SYNCHRONOUS MACHINE PLTG GILIMANUK UNIT 1</x:v>
      </x:c>
      <x:c r="C68" s="20" t="str">
        <x:v>SynchronousMachine</x:v>
      </x:c>
      <x:c r="D68" s="20" t="str">
        <x:v>SYNC-GIL-GEN1-T1</x:v>
      </x:c>
      <x:c r="E68" s="20" t="str">
        <x:v>CN-GIL-GEN1-LV</x:v>
      </x:c>
      <x:c r="F68" s="20" t="str"/>
      <x:c r="G68" s="20" t="str"/>
      <x:c r="H68" s="20" t="str"/>
      <x:c r="I68" s="20" t="str">
        <x:v>SOURCE_AND_SLD_DERIVED</x:v>
      </x:c>
      <x:c r="J68" s="40" t="n">
        <x:v>0.6</x:v>
      </x:c>
    </x:row>
  </x:sheetData>
  <x:mergeCells>
    <x:mergeCell ref="A1:J1"/>
    <x:mergeCell ref="A2:J2"/>
  </x:mergeCells>
  <x:conditionalFormatting sqref="J5:J6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6e1362ee3664c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58" hidden="0" customWidth="1"/>
    <x:col min="5" max="5" width="32" hidden="0" customWidth="1"/>
    <x:col min="6" max="6" width="22" hidden="0" customWidth="1"/>
    <x:col min="7" max="7" width="34" hidden="0" customWidth="1"/>
    <x:col min="8" max="8" width="12" hidden="0" customWidth="1"/>
    <x:col min="9" max="9" width="55" hidden="0" customWidth="1"/>
  </x:cols>
  <x:sheetData>
    <x:row r="1" ht="28" customHeight="1">
      <x:c r="A1" s="24" t="str">
        <x:v>Source XML to Canonical NMM Mapping</x:v>
      </x:c>
      <x:c r="B1" s="24"/>
      <x:c r="C1" s="24"/>
      <x:c r="D1" s="24"/>
      <x:c r="E1" s="24"/>
      <x:c r="F1" s="24"/>
      <x:c r="G1" s="24"/>
      <x:c r="H1" s="24"/>
      <x:c r="I1" s="24"/>
    </x:row>
    <x:row r="2" ht="34" customHeight="1">
      <x:c r="A2" s="30" t="str">
        <x:v>Multiple end-specific or duplicated source records may map to one canonical object.</x:v>
      </x:c>
      <x:c r="B2" s="30"/>
      <x:c r="C2" s="30"/>
      <x:c r="D2" s="30"/>
      <x:c r="E2" s="30"/>
      <x:c r="F2" s="30"/>
      <x:c r="G2" s="30"/>
      <x:c r="H2" s="30"/>
      <x:c r="I2" s="30"/>
    </x:row>
    <x:row r="4" ht="30" customHeight="1">
      <x:c r="A4" s="36" t="str">
        <x:v>source_class</x:v>
      </x:c>
      <x:c r="B4" s="36" t="str">
        <x:v>source_mrid</x:v>
      </x:c>
      <x:c r="C4" s="36" t="str">
        <x:v>source_name</x:v>
      </x:c>
      <x:c r="D4" s="36" t="str">
        <x:v>source_description</x:v>
      </x:c>
      <x:c r="E4" s="36" t="str">
        <x:v>canonical_id</x:v>
      </x:c>
      <x:c r="F4" s="36" t="str">
        <x:v>mapping_status</x:v>
      </x:c>
      <x:c r="G4" s="36" t="str">
        <x:v>mapping_rule</x:v>
      </x:c>
      <x:c r="H4" s="36" t="str">
        <x:v>confidence</x:v>
      </x:c>
      <x:c r="I4" s="36" t="str">
        <x:v>notes</x:v>
      </x:c>
    </x:row>
    <x:row r="5">
      <x:c r="A5" s="20" t="str">
        <x:v>BusbarSection</x:v>
      </x:c>
      <x:c r="B5" s="20" t="str">
        <x:v>21836fcc-be7c-4348-8d93-b781355ddff7</x:v>
      </x:c>
      <x:c r="C5" s="20" t="str">
        <x:v>TRS-3615-507.507-B0007</x:v>
      </x:c>
      <x:c r="D5" s="20" t="str">
        <x:v>BusbarSection_-_BUSBAR_A_150kV_-_GI_150KV_GILIMANUK_-_UPT_BALI</x:v>
      </x:c>
      <x:c r="E5" s="20" t="str">
        <x:v>GIL-150-BUS-A</x:v>
      </x:c>
      <x:c r="F5" s="20" t="str">
        <x:v>NORMALIZED</x:v>
      </x:c>
      <x:c r="G5" s="20" t="str">
        <x:v>Exact semantic label + GI</x:v>
      </x:c>
      <x:c r="H5" s="40" t="n">
        <x:v>0.95</x:v>
      </x:c>
      <x:c r="I5" s="20" t="str">
        <x:v>One canonical busbar retained.</x:v>
      </x:c>
    </x:row>
    <x:row r="6">
      <x:c r="A6" s="20" t="str">
        <x:v>BusbarSection</x:v>
      </x:c>
      <x:c r="B6" s="20" t="str">
        <x:v>2ba4f319-a996-440e-99c4-43084db348ba</x:v>
      </x:c>
      <x:c r="C6" s="20" t="str">
        <x:v>TRS-3615-507.507-B0008</x:v>
      </x:c>
      <x:c r="D6" s="20" t="str">
        <x:v>BusbarSection_-_BUSBAR_B_150kV_-_GI_150KV_GILIMANUK_-_UPT_BALI</x:v>
      </x:c>
      <x:c r="E6" s="20" t="str">
        <x:v>GIL-150-BUS-B</x:v>
      </x:c>
      <x:c r="F6" s="20" t="str">
        <x:v>NORMALIZED</x:v>
      </x:c>
      <x:c r="G6" s="20" t="str">
        <x:v>Exact semantic label + GI</x:v>
      </x:c>
      <x:c r="H6" s="40" t="n">
        <x:v>0.95</x:v>
      </x:c>
      <x:c r="I6" s="20" t="str">
        <x:v>One canonical busbar retained.</x:v>
      </x:c>
    </x:row>
    <x:row r="7">
      <x:c r="A7" s="20" t="str">
        <x:v>BusbarSection</x:v>
      </x:c>
      <x:c r="B7" s="20" t="str">
        <x:v>3c888e69-5af8-44e5-bf6b-3fd433661088</x:v>
      </x:c>
      <x:c r="C7" s="20" t="str">
        <x:v>TRS-3615-507.507-B0009</x:v>
      </x:c>
      <x:c r="D7" s="20" t="str">
        <x:v>BusbarSection_-_KOPEL_BUS_150kV_-_GI_150KV_GILIMANUK_-_UPT_BALI</x:v>
      </x:c>
      <x:c r="E7" s="20" t="str">
        <x:v>GIL-150-BAY-COUPLER</x:v>
      </x:c>
      <x:c r="F7" s="20" t="str">
        <x:v>CLASS_RECAST</x:v>
      </x:c>
      <x:c r="G7" s="20" t="str">
        <x:v>KOPEL_BUS interpreted as bus-coupler bay</x:v>
      </x:c>
      <x:c r="H7" s="40" t="n">
        <x:v>0.7</x:v>
      </x:c>
      <x:c r="I7" s="20" t="str">
        <x:v>Source class BusbarSection is not retained as a third busbar.</x:v>
      </x:c>
    </x:row>
    <x:row r="8">
      <x:c r="A8" s="20" t="str">
        <x:v>ACLineSegment</x:v>
      </x:c>
      <x:c r="B8" s="20" t="str">
        <x:v>9aecb5fd-bad3-4650-ad5f-34062765b516</x:v>
      </x:c>
      <x:c r="C8" s="20" t="str">
        <x:v>TRS-3615-507.507-B0001</x:v>
      </x:c>
      <x:c r="D8" s="20" t="str">
        <x:v>ACLineSegment_-_PHT_150kV_BANYUWANGI_#1_-_GI_150KV_GILIMANUK_-_UPT_BALI</x:v>
      </x:c>
      <x:c r="E8" s="20" t="str">
        <x:v>GIL-BWI-150-C1</x:v>
      </x:c>
      <x:c r="F8" s="20" t="str">
        <x:v>NORMALIZED</x:v>
      </x:c>
      <x:c r="G8" s="20" t="str">
        <x:v>Endpoint/circuit-name reconciliation</x:v>
      </x:c>
      <x:c r="H8" s="40" t="n">
        <x:v>0.75</x:v>
      </x:c>
      <x:c r="I8" s="20" t="str">
        <x:v>Total length is the sum of segments visible on overview SLD; circuit assignment requires confirmation.</x:v>
      </x:c>
    </x:row>
    <x:row r="9">
      <x:c r="A9" s="20" t="str">
        <x:v>ACLineSegment</x:v>
      </x:c>
      <x:c r="B9" s="20" t="str">
        <x:v>f15a2fdf-e93a-499e-a6b4-6fbc366d4645</x:v>
      </x:c>
      <x:c r="C9" s="20" t="str">
        <x:v>TRS-3615-507.507-B0002</x:v>
      </x:c>
      <x:c r="D9" s="20" t="str">
        <x:v>ACLineSegment_-_PHT_150kV_BANYUWANGI_#2_-_GI_150KV_GILIMANUK_-_UPT_BALI</x:v>
      </x:c>
      <x:c r="E9" s="20" t="str">
        <x:v>GIL-BWI-150-C2</x:v>
      </x:c>
      <x:c r="F9" s="20" t="str">
        <x:v>NORMALIZED</x:v>
      </x:c>
      <x:c r="G9" s="20" t="str">
        <x:v>Endpoint/circuit-name reconciliation</x:v>
      </x:c>
      <x:c r="H9" s="40" t="n">
        <x:v>0.75</x:v>
      </x:c>
      <x:c r="I9" s="20" t="str">
        <x:v>Paired with the second visually similar Banyuwangi circuit.</x:v>
      </x:c>
    </x:row>
    <x:row r="10">
      <x:c r="A10" s="20" t="str">
        <x:v>ACLineSegment</x:v>
      </x:c>
      <x:c r="B10" s="20" t="str">
        <x:v>c1f13ca4-cf51-40b0-a962-0933da06b42f</x:v>
      </x:c>
      <x:c r="C10" s="20" t="str">
        <x:v>TRS-3615-507.507-B0015</x:v>
      </x:c>
      <x:c r="D10" s="20" t="str">
        <x:v>ACLineSegment_-_PHT_150kV_BANYUWANGI_#3_-_GI_150KV_GILIMANUK_-_UPT_BALI</x:v>
      </x:c>
      <x:c r="E10" s="20" t="str">
        <x:v>GIL-BWI-150-C3</x:v>
      </x:c>
      <x:c r="F10" s="20" t="str">
        <x:v>NORMALIZED</x:v>
      </x:c>
      <x:c r="G10" s="20" t="str">
        <x:v>Endpoint/circuit-name reconciliation</x:v>
      </x:c>
      <x:c r="H10" s="40" t="n">
        <x:v>0.75</x:v>
      </x:c>
      <x:c r="I10" s="20" t="str">
        <x:v>Total length is the sum of segments visible on overview SLD.</x:v>
      </x:c>
    </x:row>
    <x:row r="11">
      <x:c r="A11" s="20" t="str">
        <x:v>ACLineSegment</x:v>
      </x:c>
      <x:c r="B11" s="20" t="str">
        <x:v>a8dc4a8b-1443-409f-89bc-aaf88cad27d1</x:v>
      </x:c>
      <x:c r="C11" s="20" t="str">
        <x:v>TRS-3615-507.507-B0016</x:v>
      </x:c>
      <x:c r="D11" s="20" t="str">
        <x:v>ACLineSegment_-_PHT_150kV_BANYUWANGI_#4_-_GI_150KV_GILIMANUK_-_UPT_BALI</x:v>
      </x:c>
      <x:c r="E11" s="20" t="str">
        <x:v>GIL-BWI-150-C4</x:v>
      </x:c>
      <x:c r="F11" s="20" t="str">
        <x:v>NORMALIZED</x:v>
      </x:c>
      <x:c r="G11" s="20" t="str">
        <x:v>Endpoint/circuit-name reconciliation</x:v>
      </x:c>
      <x:c r="H11" s="40" t="n">
        <x:v>0.75</x:v>
      </x:c>
      <x:c r="I11" s="20" t="str">
        <x:v>Paired with the second visually similar Banyuwangi circuit.</x:v>
      </x:c>
    </x:row>
    <x:row r="12">
      <x:c r="A12" s="20" t="str">
        <x:v>ACLineSegment</x:v>
      </x:c>
      <x:c r="B12" s="20" t="str">
        <x:v>c7d16c5d-4c14-4599-9543-e1e18782ae2b</x:v>
      </x:c>
      <x:c r="C12" s="20" t="str">
        <x:v>TRS-3615-507.507-B0003</x:v>
      </x:c>
      <x:c r="D12" s="20" t="str">
        <x:v>ACLineSegment_-_PHT_150kV_NEGARA_#1_-_GI_150KV_GILIMANUK_-_UPT_BALI</x:v>
      </x:c>
      <x:c r="E12" s="20" t="str">
        <x:v>GIL-NEG-150-C1</x:v>
      </x:c>
      <x:c r="F12" s="20" t="str">
        <x:v>MERGED_ALIAS</x:v>
      </x:c>
      <x:c r="G12" s="20" t="str">
        <x:v>Endpoint/circuit-name reconciliation</x:v>
      </x:c>
      <x:c r="H12" s="40" t="n">
        <x:v>0.9</x:v>
      </x:c>
      <x:c r="I12" s="20" t="str">
        <x:v>Two end-specific source objects are merged into one canonical inter-GI circuit.</x:v>
      </x:c>
    </x:row>
    <x:row r="13">
      <x:c r="A13" s="20" t="str">
        <x:v>ACLineSegment</x:v>
      </x:c>
      <x:c r="B13" s="20" t="str">
        <x:v>016adbf4-f683-439c-bf56-672223e7296c</x:v>
      </x:c>
      <x:c r="C13" s="20" t="str">
        <x:v>TRS-3615-508.508-B0001</x:v>
      </x:c>
      <x:c r="D13" s="20" t="str">
        <x:v>ACLineSegment_-_PHT_150kV_GILIMANUK_#1_-_GI_150KV_NEGARA_-_UPT_BALI</x:v>
      </x:c>
      <x:c r="E13" s="20" t="str">
        <x:v>GIL-NEG-150-C1</x:v>
      </x:c>
      <x:c r="F13" s="20" t="str">
        <x:v>MERGED_ALIAS</x:v>
      </x:c>
      <x:c r="G13" s="20" t="str">
        <x:v>Endpoint/circuit-name reconciliation</x:v>
      </x:c>
      <x:c r="H13" s="40" t="n">
        <x:v>0.9</x:v>
      </x:c>
      <x:c r="I13" s="20" t="str">
        <x:v>Two end-specific source objects are merged into one canonical inter-GI circuit.</x:v>
      </x:c>
    </x:row>
    <x:row r="14">
      <x:c r="A14" s="20" t="str">
        <x:v>ACLineSegment</x:v>
      </x:c>
      <x:c r="B14" s="20" t="str">
        <x:v>efeba486-e2fe-49cf-a5d0-5609a6bc93f4</x:v>
      </x:c>
      <x:c r="C14" s="20" t="str">
        <x:v>TRS-3615-507.507-B0004</x:v>
      </x:c>
      <x:c r="D14" s="20" t="str">
        <x:v>ACLineSegment_-_PHT_150kV_NEGARA_#2_-_GI_150KV_GILIMANUK_-_UPT_BALI</x:v>
      </x:c>
      <x:c r="E14" s="20" t="str">
        <x:v>GIL-NEG-150-C2</x:v>
      </x:c>
      <x:c r="F14" s="20" t="str">
        <x:v>MERGED_ALIAS</x:v>
      </x:c>
      <x:c r="G14" s="20" t="str">
        <x:v>Endpoint/circuit-name reconciliation</x:v>
      </x:c>
      <x:c r="H14" s="40" t="n">
        <x:v>0.9</x:v>
      </x:c>
      <x:c r="I14" s="20" t="str">
        <x:v>Two end-specific source objects are merged into one canonical inter-GI circuit.</x:v>
      </x:c>
    </x:row>
    <x:row r="15">
      <x:c r="A15" s="20" t="str">
        <x:v>ACLineSegment</x:v>
      </x:c>
      <x:c r="B15" s="20" t="str">
        <x:v>45baaf2d-6654-4277-8cb4-ef0b43823131</x:v>
      </x:c>
      <x:c r="C15" s="20" t="str">
        <x:v>TRS-3615-508.508-B0002</x:v>
      </x:c>
      <x:c r="D15" s="20" t="str">
        <x:v>ACLineSegment_-_PHT_150kV_GILIMANUK_#2_-_GI_150KV_NEGARA_-_UPT_BALI</x:v>
      </x:c>
      <x:c r="E15" s="20" t="str">
        <x:v>GIL-NEG-150-C2</x:v>
      </x:c>
      <x:c r="F15" s="20" t="str">
        <x:v>MERGED_ALIAS</x:v>
      </x:c>
      <x:c r="G15" s="20" t="str">
        <x:v>Endpoint/circuit-name reconciliation</x:v>
      </x:c>
      <x:c r="H15" s="40" t="n">
        <x:v>0.9</x:v>
      </x:c>
      <x:c r="I15" s="20" t="str">
        <x:v>Two end-specific source objects are merged into one canonical inter-GI circuit.</x:v>
      </x:c>
    </x:row>
    <x:row r="16">
      <x:c r="A16" s="20" t="str">
        <x:v>ACLineSegment</x:v>
      </x:c>
      <x:c r="B16" s="20" t="str">
        <x:v>acc427b0-422c-4bd2-8c12-ae982fcaea56</x:v>
      </x:c>
      <x:c r="C16" s="20" t="str">
        <x:v>TRS-3615-507.507-B0005</x:v>
      </x:c>
      <x:c r="D16" s="20" t="str">
        <x:v>ACLineSegment_-_PHT_150kV_CELUKAN_BAWANG_-_GI_150KV_GILIMANUK_-_UPT_BALI</x:v>
      </x:c>
      <x:c r="E16" s="20" t="str">
        <x:v>GIL-CLB-150-C1</x:v>
      </x:c>
      <x:c r="F16" s="20" t="str">
        <x:v>MERGED_ALIAS</x:v>
      </x:c>
      <x:c r="G16" s="20" t="str">
        <x:v>Endpoint/circuit-name reconciliation</x:v>
      </x:c>
      <x:c r="H16" s="40" t="n">
        <x:v>0.55</x:v>
      </x:c>
      <x:c r="I16" s="20" t="str">
        <x:v>Multiple source labels appear to refer to the Celukan Bawang corridor; merged provisionally.</x:v>
      </x:c>
    </x:row>
    <x:row r="17">
      <x:c r="A17" s="20" t="str">
        <x:v>ACLineSegment</x:v>
      </x:c>
      <x:c r="B17" s="20" t="str">
        <x:v>5d3856ec-7e27-4314-95ce-3b59e85e8279</x:v>
      </x:c>
      <x:c r="C17" s="20" t="str">
        <x:v>TRS-3615-507.507-B0017</x:v>
      </x:c>
      <x:c r="D17" s="20" t="str">
        <x:v>ACLineSegment_-_PHT_150kV_CH_GILIMANUK_#1_-_GI_150KV_GILIMANUK_-_UPT_BALI</x:v>
      </x:c>
      <x:c r="E17" s="20" t="str">
        <x:v>GIL-CLB-150-C1</x:v>
      </x:c>
      <x:c r="F17" s="20" t="str">
        <x:v>MERGED_ALIAS</x:v>
      </x:c>
      <x:c r="G17" s="20" t="str">
        <x:v>Endpoint/circuit-name reconciliation</x:v>
      </x:c>
      <x:c r="H17" s="40" t="n">
        <x:v>0.55</x:v>
      </x:c>
      <x:c r="I17" s="20" t="str">
        <x:v>Multiple source labels appear to refer to the Celukan Bawang corridor; merged provisionally.</x:v>
      </x:c>
    </x:row>
    <x:row r="18">
      <x:c r="A18" s="20" t="str">
        <x:v>ACLineSegment</x:v>
      </x:c>
      <x:c r="B18" s="20" t="str">
        <x:v>86e3270f-06a3-4b15-aac0-29f9e2666d50</x:v>
      </x:c>
      <x:c r="C18" s="20" t="str">
        <x:v>TRS-3615-507.507-B0018</x:v>
      </x:c>
      <x:c r="D18" s="20" t="str">
        <x:v>ACLineSegment_-_PHT_150kV_CH_GILIMANUK_#2_-_GI_150KV_GILIMANUK_-_UPT_BALI</x:v>
      </x:c>
      <x:c r="E18" s="20" t="str">
        <x:v>GIL-CLB-150-C2</x:v>
      </x:c>
      <x:c r="F18" s="20" t="str">
        <x:v>NORMALIZED</x:v>
      </x:c>
      <x:c r="G18" s="20" t="str">
        <x:v>Endpoint/circuit-name reconciliation</x:v>
      </x:c>
      <x:c r="H18" s="40" t="n">
        <x:v>0.55</x:v>
      </x:c>
      <x:c r="I18" s="20" t="str">
        <x:v>Remote-end source alias was not uniquely identifiable in the supplied XML.</x:v>
      </x:c>
    </x:row>
    <x:row r="19">
      <x:c r="A19" s="20" t="str">
        <x:v>ACLineSegment</x:v>
      </x:c>
      <x:c r="B19" s="20" t="str">
        <x:v>2eba8d3a-7a77-4157-a86f-9beb2045c76e</x:v>
      </x:c>
      <x:c r="C19" s="20" t="str">
        <x:v>TRS-3615-507.507-B0006</x:v>
      </x:c>
      <x:c r="D19" s="20" t="str">
        <x:v>ACLineSegment_-_PHT_150kV_PEMARON_-_GI_150KV_GILIMANUK_-_UPT_BALI</x:v>
      </x:c>
      <x:c r="E19" s="20" t="str">
        <x:v>GIL-PMR-150-C1</x:v>
      </x:c>
      <x:c r="F19" s="20" t="str">
        <x:v>MERGED_ALIAS</x:v>
      </x:c>
      <x:c r="G19" s="20" t="str">
        <x:v>Endpoint/circuit-name reconciliation</x:v>
      </x:c>
      <x:c r="H19" s="40" t="n">
        <x:v>0.7</x:v>
      </x:c>
      <x:c r="I19" s="20" t="str">
        <x:v>Local and remote source objects are merged into one canonical circuit.</x:v>
      </x:c>
    </x:row>
    <x:row r="20">
      <x:c r="A20" s="20" t="str">
        <x:v>ACLineSegment</x:v>
      </x:c>
      <x:c r="B20" s="20" t="str">
        <x:v>63922e1f-1005-40aa-8b21-6c903c4fe4c2</x:v>
      </x:c>
      <x:c r="C20" s="20" t="str">
        <x:v>TRS-3615-512.512-B0002</x:v>
      </x:c>
      <x:c r="D20" s="20" t="str">
        <x:v>ACLineSegment_-_PHT_150kV_GILIMANUK_-_GI_150KV_PEMARON_-_UPT_BALI</x:v>
      </x:c>
      <x:c r="E20" s="20" t="str">
        <x:v>GIL-PMR-150-C1</x:v>
      </x:c>
      <x:c r="F20" s="20" t="str">
        <x:v>MERGED_ALIAS</x:v>
      </x:c>
      <x:c r="G20" s="20" t="str">
        <x:v>Endpoint/circuit-name reconciliation</x:v>
      </x:c>
      <x:c r="H20" s="40" t="n">
        <x:v>0.7</x:v>
      </x:c>
      <x:c r="I20" s="20" t="str">
        <x:v>Local and remote source objects are merged into one canonical circuit.</x:v>
      </x:c>
    </x:row>
    <x:row r="21">
      <x:c r="A21" s="20" t="str">
        <x:v>PowerTransformer</x:v>
      </x:c>
      <x:c r="B21" s="20" t="str">
        <x:v>37322264-4ec7-4b79-99fe-43b2305729b3</x:v>
      </x:c>
      <x:c r="C21" s="20" t="str">
        <x:v>TRS-3615-507.507-B0010</x:v>
      </x:c>
      <x:c r="D21" s="20" t="str">
        <x:v>PowerTransformer_-_TRF#1_150/20kV_-_GI_150KV_GILIMANUK_-_UPT_BALI</x:v>
      </x:c>
      <x:c r="E21" s="20" t="str">
        <x:v>GIL-TRF1-150-20</x:v>
      </x:c>
      <x:c r="F21" s="20" t="str">
        <x:v>NORMALIZED</x:v>
      </x:c>
      <x:c r="G21" s="20" t="str">
        <x:v>Exact transformer label</x:v>
      </x:c>
      <x:c r="H21" s="40" t="n">
        <x:v>0.9</x:v>
      </x:c>
      <x:c r="I21" s="20" t="str">
        <x:v>RatedS and LV voltage corrected from SLD.</x:v>
      </x:c>
    </x:row>
    <x:row r="22">
      <x:c r="A22" s="20" t="str">
        <x:v>PowerTransformer</x:v>
      </x:c>
      <x:c r="B22" s="20" t="str">
        <x:v>6411bb55-7062-49c5-84a4-329a52ec61ee</x:v>
      </x:c>
      <x:c r="C22" s="20" t="str">
        <x:v>TRS-3615-507.507-B0011</x:v>
      </x:c>
      <x:c r="D22" s="20" t="str">
        <x:v>PowerTransformer_-_TRF#2_150/20kV_-_GI_150KV_GILIMANUK_-_UPT_BALI</x:v>
      </x:c>
      <x:c r="E22" s="20" t="str">
        <x:v>GIL-TRF2-150-20</x:v>
      </x:c>
      <x:c r="F22" s="20" t="str">
        <x:v>NORMALIZED</x:v>
      </x:c>
      <x:c r="G22" s="20" t="str">
        <x:v>Exact transformer label</x:v>
      </x:c>
      <x:c r="H22" s="40" t="n">
        <x:v>0.85</x:v>
      </x:c>
      <x:c r="I22" s="20" t="str">
        <x:v>RatedS and LV voltage corrected from SLD.</x:v>
      </x:c>
    </x:row>
    <x:row r="23">
      <x:c r="A23" s="20" t="str">
        <x:v>PowerTransformer</x:v>
      </x:c>
      <x:c r="B23" s="20" t="str">
        <x:v>965b07b6-a0fb-48ca-9a13-a57b307c7a10</x:v>
      </x:c>
      <x:c r="C23" s="20" t="str">
        <x:v>TRS-3615-507.507-B0012</x:v>
      </x:c>
      <x:c r="D23" s="20" t="str">
        <x:v>PowerTransformer_-_TRF#1_150/20kV_(INC)_-_GI_150KV_GILIMANUK_-_UPT_BALI</x:v>
      </x:c>
      <x:c r="E23" s="20" t="str"/>
      <x:c r="F23" s="20" t="str">
        <x:v>UNMATCHED_SOURCE</x:v>
      </x:c>
      <x:c r="G23" s="20" t="str">
        <x:v>No unique visible SLD counterpart</x:v>
      </x:c>
      <x:c r="H23" s="40" t="n">
        <x:v>0.3</x:v>
      </x:c>
      <x:c r="I23" s="20" t="str">
        <x:v>Possible incomplete/future transformer; excluded from canonical pilot.</x:v>
      </x:c>
    </x:row>
    <x:row r="24">
      <x:c r="A24" s="20" t="str">
        <x:v>PowerTransformer</x:v>
      </x:c>
      <x:c r="B24" s="20" t="str">
        <x:v>4cbfd1b6-75dd-4f8e-ad36-cca860203e4d</x:v>
      </x:c>
      <x:c r="C24" s="20" t="str">
        <x:v>TRS-3615-507.507-B0013</x:v>
      </x:c>
      <x:c r="D24" s="20" t="str">
        <x:v>PowerTransformer_-_TRF#2_150/20kV_(INC)_-_GI_150KV_GILIMANUK_-_UPT_BALI</x:v>
      </x:c>
      <x:c r="E24" s="20" t="str"/>
      <x:c r="F24" s="20" t="str">
        <x:v>UNMATCHED_SOURCE</x:v>
      </x:c>
      <x:c r="G24" s="20" t="str">
        <x:v>No unique visible SLD counterpart</x:v>
      </x:c>
      <x:c r="H24" s="40" t="n">
        <x:v>0.3</x:v>
      </x:c>
      <x:c r="I24" s="20" t="str">
        <x:v>Possible incomplete/future transformer; excluded from canonical pilot.</x:v>
      </x:c>
    </x:row>
    <x:row r="25">
      <x:c r="A25" s="20" t="str">
        <x:v>SynchronousMachine</x:v>
      </x:c>
      <x:c r="B25" s="20" t="str">
        <x:v>7c45c7c6-0f7e-40c4-997f-2d4778ffde71</x:v>
      </x:c>
      <x:c r="C25" s="20" t="str">
        <x:v>TRS-3615-507.507-B0014</x:v>
      </x:c>
      <x:c r="D25" s="20" t="str">
        <x:v>SynchronousMachine_-_PLTG_GILIMANUK_-_GI_150KV_GILIMANUK_-_UPT_BALI</x:v>
      </x:c>
      <x:c r="E25" s="20" t="str">
        <x:v>GIL-GEN1-SM</x:v>
      </x:c>
      <x:c r="F25" s="20" t="str">
        <x:v>NORMALIZED</x:v>
      </x:c>
      <x:c r="G25" s="20" t="str">
        <x:v>Exact PLTG GILIMANUK label</x:v>
      </x:c>
      <x:c r="H25" s="40" t="n">
        <x:v>0.7</x:v>
      </x:c>
      <x:c r="I25" s="20" t="str">
        <x:v>Machine retained; detailed rating still pending.</x:v>
      </x:c>
    </x:row>
    <x:row r="26">
      <x:c r="A26" s="20" t="str">
        <x:v>Disconnector</x:v>
      </x:c>
      <x:c r="B26" s="20" t="str">
        <x:v>d75f92c9-4a91-46ea-bd84-42b2c435c61d</x:v>
      </x:c>
      <x:c r="C26" s="20" t="str">
        <x:v>Disconnector internal generator</x:v>
      </x:c>
      <x:c r="D26" s="20" t="str">
        <x:v>Disconnector PLTG_GILIMANUK</x:v>
      </x:c>
      <x:c r="E26" s="20" t="str">
        <x:v>GIL-150-GEN1-DS-GSU</x:v>
      </x:c>
      <x:c r="F26" s="20" t="str">
        <x:v>PROVISIONAL_MAPPING</x:v>
      </x:c>
      <x:c r="G26" s="20" t="str">
        <x:v>Only source DS associated with generator</x:v>
      </x:c>
      <x:c r="H26" s="40" t="n">
        <x:v>0.45</x:v>
      </x:c>
      <x:c r="I26" s="20" t="str">
        <x:v>Exact physical DS role requires detailed plant SLD.</x:v>
      </x:c>
    </x:row>
  </x:sheetData>
  <x:mergeCells>
    <x:mergeCell ref="A1:I1"/>
    <x:mergeCell ref="A2:I2"/>
  </x:mergeCells>
  <x:dataValidations count="1">
    <x:dataValidation type="list" sqref="F5:F26">
      <x:formula1>"NORMALIZED,MERGED_ALIAS,CLASS_RECAST,PROVISIONAL_MAPPING,UNMATCHED_SOURCE"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65d6d6e844ce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28" hidden="0" customWidth="1"/>
    <x:col min="5" max="5" width="58" hidden="0" customWidth="1"/>
    <x:col min="6" max="6" width="58" hidden="0" customWidth="1"/>
    <x:col min="7" max="7" width="12" hidden="0" customWidth="1"/>
    <x:col min="8" max="8" width="18" hidden="0" customWidth="1"/>
    <x:col min="9" max="9" width="48" hidden="0" customWidth="1"/>
  </x:cols>
  <x:sheetData>
    <x:row r="1" ht="28" customHeight="1">
      <x:c r="A1" s="24" t="str">
        <x:v>Assumption and Engineering Review Log</x:v>
      </x:c>
      <x:c r="B1" s="24"/>
      <x:c r="C1" s="24"/>
      <x:c r="D1" s="24"/>
      <x:c r="E1" s="24"/>
      <x:c r="F1" s="24"/>
      <x:c r="G1" s="24"/>
      <x:c r="H1" s="24"/>
      <x:c r="I1" s="24"/>
    </x:row>
    <x:row r="2" ht="34" customHeight="1">
      <x:c r="A2" s="30" t="str">
        <x:v>No assumption is hidden in the XML: every provisional value is listed here with confidence and impact.</x:v>
      </x:c>
      <x:c r="B2" s="30"/>
      <x:c r="C2" s="30"/>
      <x:c r="D2" s="30"/>
      <x:c r="E2" s="30"/>
      <x:c r="F2" s="30"/>
      <x:c r="G2" s="30"/>
      <x:c r="H2" s="30"/>
      <x:c r="I2" s="30"/>
    </x:row>
    <x:row r="4" ht="30" customHeight="1">
      <x:c r="A4" s="36" t="str">
        <x:v>assumption_id</x:v>
      </x:c>
      <x:c r="B4" s="36" t="str">
        <x:v>category</x:v>
      </x:c>
      <x:c r="C4" s="36" t="str">
        <x:v>object</x:v>
      </x:c>
      <x:c r="D4" s="36" t="str">
        <x:v>field</x:v>
      </x:c>
      <x:c r="E4" s="36" t="str">
        <x:v>assumed_value</x:v>
      </x:c>
      <x:c r="F4" s="36" t="str">
        <x:v>basis</x:v>
      </x:c>
      <x:c r="G4" s="36" t="str">
        <x:v>confidence</x:v>
      </x:c>
      <x:c r="H4" s="36" t="str">
        <x:v>review_required</x:v>
      </x:c>
      <x:c r="I4" s="36" t="str">
        <x:v>impact</x:v>
      </x:c>
    </x:row>
    <x:row r="5">
      <x:c r="A5" s="20" t="str">
        <x:v>A-001</x:v>
      </x:c>
      <x:c r="B5" s="20" t="str">
        <x:v>Bay topology</x:v>
      </x:c>
      <x:c r="C5" s="20" t="str">
        <x:v>All Gilimanuk 150 kV line/transformer/generator bays</x:v>
      </x:c>
      <x:c r="D5" s="20" t="str">
        <x:v>Node-breaker arrangement</x:v>
      </x:c>
      <x:c r="E5" s="20" t="str">
        <x:v>Double-bus single-breaker: DS Bus A + DS Bus B + CB + equipment-side DS</x:v>
      </x:c>
      <x:c r="F5" s="20" t="str">
        <x:v>Overview SLD shows two busbars but lacks unique equipment tags.</x:v>
      </x:c>
      <x:c r="G5" s="40" t="n">
        <x:v>0.65</x:v>
      </x:c>
      <x:c r="H5" s="20" t="str">
        <x:v>YES</x:v>
      </x:c>
      <x:c r="I5" s="20" t="str">
        <x:v>Changes connectivity and device count.</x:v>
      </x:c>
    </x:row>
    <x:row r="6">
      <x:c r="A6" s="20" t="str">
        <x:v>A-002</x:v>
      </x:c>
      <x:c r="B6" s="20" t="str">
        <x:v>Switch identity</x:v>
      </x:c>
      <x:c r="C6" s="20" t="str">
        <x:v>Generated CB and DS</x:v>
      </x:c>
      <x:c r="D6" s="20" t="str">
        <x:v>Canonical business IDs</x:v>
      </x:c>
      <x:c r="E6" s="20" t="str">
        <x:v>GIL-150-&lt;BAY&gt;-&lt;DEVICE&gt;</x:v>
      </x:c>
      <x:c r="F6" s="20" t="str">
        <x:v>No source identifiers exist for individual CB/DS.</x:v>
      </x:c>
      <x:c r="G6" s="40" t="n">
        <x:v>0.8</x:v>
      </x:c>
      <x:c r="H6" s="20" t="str">
        <x:v>YES</x:v>
      </x:c>
      <x:c r="I6" s="20" t="str">
        <x:v>Must later map to SAP/SCADA operational tags.</x:v>
      </x:c>
    </x:row>
    <x:row r="7">
      <x:c r="A7" s="20" t="str">
        <x:v>A-003</x:v>
      </x:c>
      <x:c r="B7" s="20" t="str">
        <x:v>Normal state</x:v>
      </x:c>
      <x:c r="C7" s="20" t="str">
        <x:v>Generated CB and DS</x:v>
      </x:c>
      <x:c r="D7" s="20" t="str">
        <x:v>Switch.normalOpen</x:v>
      </x:c>
      <x:c r="E7" s="20" t="str">
        <x:v>false</x:v>
      </x:c>
      <x:c r="F7" s="20" t="str">
        <x:v>Pilot represents normal in-service topology.</x:v>
      </x:c>
      <x:c r="G7" s="40" t="n">
        <x:v>0.55</x:v>
      </x:c>
      <x:c r="H7" s="20" t="str">
        <x:v>YES</x:v>
      </x:c>
      <x:c r="I7" s="20" t="str">
        <x:v>Affects calculated topological nodes.</x:v>
      </x:c>
    </x:row>
    <x:row r="8">
      <x:c r="A8" s="20" t="str">
        <x:v>A-004</x:v>
      </x:c>
      <x:c r="B8" s="20" t="str">
        <x:v>Banyuwangi line length</x:v>
      </x:c>
      <x:c r="C8" s="20" t="str">
        <x:v>BWI-C1/C2 and BWI-C3/C4</x:v>
      </x:c>
      <x:c r="D8" s="20" t="str">
        <x:v>Conductor.length</x:v>
      </x:c>
      <x:c r="E8" s="20" t="str">
        <x:v>14.18 km and 14.94 km</x:v>
      </x:c>
      <x:c r="F8" s="20" t="str">
        <x:v>Sum of composite segment lengths visible on overview SLD.</x:v>
      </x:c>
      <x:c r="G8" s="40" t="n">
        <x:v>0.75</x:v>
      </x:c>
      <x:c r="H8" s="20" t="str">
        <x:v>YES</x:v>
      </x:c>
      <x:c r="I8" s="20" t="str">
        <x:v>Affects impedance calculations once segment parameters are added.</x:v>
      </x:c>
    </x:row>
    <x:row r="9">
      <x:c r="A9" s="20" t="str">
        <x:v>A-005</x:v>
      </x:c>
      <x:c r="B9" s="20" t="str">
        <x:v>Celukan/Pemaron corridors</x:v>
      </x:c>
      <x:c r="C9" s="20" t="str">
        <x:v>CLB-C1/C2 and PMR-C1</x:v>
      </x:c>
      <x:c r="D9" s="20" t="str">
        <x:v>Length and segment assignment</x:v>
      </x:c>
      <x:c r="E9" s="20" t="str">
        <x:v>Not populated</x:v>
      </x:c>
      <x:c r="F9" s="20" t="str">
        <x:v>Overview labels cannot be assigned unambiguously to each circuit.</x:v>
      </x:c>
      <x:c r="G9" s="40" t="n">
        <x:v>0.35</x:v>
      </x:c>
      <x:c r="H9" s="20" t="str">
        <x:v>YES</x:v>
      </x:c>
      <x:c r="I9" s="20" t="str">
        <x:v>Load-flow parameters remain incomplete.</x:v>
      </x:c>
    </x:row>
    <x:row r="10">
      <x:c r="A10" s="20" t="str">
        <x:v>A-006</x:v>
      </x:c>
      <x:c r="B10" s="20" t="str">
        <x:v>Transformer data</x:v>
      </x:c>
      <x:c r="C10" s="20" t="str">
        <x:v>TRF1 and TRF2</x:v>
      </x:c>
      <x:c r="D10" s="20" t="str">
        <x:v>RatedS / voltage ratio</x:v>
      </x:c>
      <x:c r="E10" s="20" t="str">
        <x:v>30 MVA and 60 MVA; 150/20 kV</x:v>
      </x:c>
      <x:c r="F10" s="20" t="str">
        <x:v>Overview SLD and transformer descriptions.</x:v>
      </x:c>
      <x:c r="G10" s="40" t="n">
        <x:v>0.87</x:v>
      </x:c>
      <x:c r="H10" s="20" t="str">
        <x:v>YES</x:v>
      </x:c>
      <x:c r="I10" s="20" t="str">
        <x:v>Electrical model requires impedance, vector group, and tap data.</x:v>
      </x:c>
    </x:row>
    <x:row r="11">
      <x:c r="A11" s="20" t="str">
        <x:v>A-007</x:v>
      </x:c>
      <x:c r="B11" s="20" t="str">
        <x:v>Generator connection</x:v>
      </x:c>
      <x:c r="C11" s="20" t="str">
        <x:v>PLTG GILIMANUK UNIT 1</x:v>
      </x:c>
      <x:c r="D11" s="20" t="str">
        <x:v>GSU and generator-side voltage</x:v>
      </x:c>
      <x:c r="E11" s="20" t="str">
        <x:v>One GSU, 150/11 kV</x:v>
      </x:c>
      <x:c r="F11" s="20" t="str">
        <x:v>Generator-transformer symbol visible; detailed plant SLD unavailable.</x:v>
      </x:c>
      <x:c r="G11" s="40" t="n">
        <x:v>0.4</x:v>
      </x:c>
      <x:c r="H11" s="20" t="str">
        <x:v>YES</x:v>
      </x:c>
      <x:c r="I11" s="20" t="str">
        <x:v>Plant-side topology and load-flow model may change.</x:v>
      </x:c>
    </x:row>
    <x:row r="12">
      <x:c r="A12" s="20" t="str">
        <x:v>A-008</x:v>
      </x:c>
      <x:c r="B12" s="20" t="str">
        <x:v>Remote topology</x:v>
      </x:c>
      <x:c r="C12" s="20" t="str">
        <x:v>BWI/NEG/CLB/PMR remote ends</x:v>
      </x:c>
      <x:c r="D12" s="20" t="str">
        <x:v>Remote bay equipment</x:v>
      </x:c>
      <x:c r="E12" s="20" t="str">
        <x:v>Boundary connectivity node only</x:v>
      </x:c>
      <x:c r="F12" s="20" t="str">
        <x:v>Pilot scope is GI Gilimanuk.</x:v>
      </x:c>
      <x:c r="G12" s="40" t="n">
        <x:v>0.95</x:v>
      </x:c>
      <x:c r="H12" s="20" t="str">
        <x:v>NO</x:v>
      </x:c>
      <x:c r="I12" s="20" t="str">
        <x:v>Remote GI node-breaker topology is intentionally out of scope.</x:v>
      </x:c>
    </x:row>
  </x:sheetData>
  <x:mergeCells>
    <x:mergeCell ref="A1:I1"/>
    <x:mergeCell ref="A2:I2"/>
  </x:mergeCells>
  <x:conditionalFormatting sqref="H5:H12">
    <x:cfRule type="expression" dxfId="0" priority="1">
      <x:formula>H5="YES"</x:formula>
    </x:cfRule>
  </x:conditionalFormatting>
  <x:dataValidations count="1">
    <x:dataValidation type="list" sqref="H5:H1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964f8766654a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48" hidden="0" customWidth="1"/>
    <x:col min="5" max="5" width="18" hidden="0" customWidth="1"/>
    <x:col min="6" max="6" width="55" hidden="0" customWidth="1"/>
    <x:col min="7" max="7" width="55" hidden="0" customWidth="1"/>
  </x:cols>
  <x:sheetData>
    <x:row r="1" ht="28" customHeight="1">
      <x:c r="A1" s="24" t="str">
        <x:v>Canonical Model Validation</x:v>
      </x:c>
      <x:c r="B1" s="24"/>
      <x:c r="C1" s="24"/>
      <x:c r="D1" s="24"/>
      <x:c r="E1" s="24"/>
      <x:c r="F1" s="24"/>
      <x:c r="G1" s="24"/>
    </x:row>
    <x:row r="2" ht="34" customHeight="1">
      <x:c r="A2" s="30" t="str">
        <x:v>Structural checks pass; open warnings indicate data required before load-flow or production publication.</x:v>
      </x:c>
      <x:c r="B2" s="30"/>
      <x:c r="C2" s="30"/>
      <x:c r="D2" s="30"/>
      <x:c r="E2" s="30"/>
      <x:c r="F2" s="30"/>
      <x:c r="G2" s="30"/>
    </x:row>
    <x:row r="4" ht="30" customHeight="1">
      <x:c r="A4" s="36" t="str">
        <x:v>rule_id</x:v>
      </x:c>
      <x:c r="B4" s="36" t="str">
        <x:v>severity</x:v>
      </x:c>
      <x:c r="C4" s="36" t="str">
        <x:v>scope</x:v>
      </x:c>
      <x:c r="D4" s="36" t="str">
        <x:v>rule</x:v>
      </x:c>
      <x:c r="E4" s="36" t="str">
        <x:v>status</x:v>
      </x:c>
      <x:c r="F4" s="36" t="str">
        <x:v>detail</x:v>
      </x:c>
      <x:c r="G4" s="36" t="str">
        <x:v>required_action</x:v>
      </x:c>
    </x:row>
    <x:row r="5">
      <x:c r="A5" s="20" t="str">
        <x:v>VAL-001</x:v>
      </x:c>
      <x:c r="B5" s="20" t="str">
        <x:v>ERROR</x:v>
      </x:c>
      <x:c r="C5" s="20" t="str">
        <x:v>Canonical XML</x:v>
      </x:c>
      <x:c r="D5" s="20" t="str">
        <x:v>All local rdf:resource references resolve</x:v>
      </x:c>
      <x:c r="E5" s="20" t="str">
        <x:v>PASS</x:v>
      </x:c>
      <x:c r="F5" s="20" t="str">
        <x:v>0 unresolved local references.</x:v>
      </x:c>
      <x:c r="G5" s="20" t="str"/>
    </x:row>
    <x:row r="6">
      <x:c r="A6" s="20" t="str">
        <x:v>VAL-002</x:v>
      </x:c>
      <x:c r="B6" s="20" t="str">
        <x:v>ERROR</x:v>
      </x:c>
      <x:c r="C6" s="20" t="str">
        <x:v>Canonical XML</x:v>
      </x:c>
      <x:c r="D6" s="20" t="str">
        <x:v>mRID values are unique</x:v>
      </x:c>
      <x:c r="E6" s="20" t="str">
        <x:v>PASS</x:v>
      </x:c>
      <x:c r="F6" s="20" t="str">
        <x:v>0 duplicate mRID values.</x:v>
      </x:c>
      <x:c r="G6" s="20" t="str"/>
    </x:row>
    <x:row r="7">
      <x:c r="A7" s="20" t="str">
        <x:v>VAL-003</x:v>
      </x:c>
      <x:c r="B7" s="20" t="str">
        <x:v>ERROR</x:v>
      </x:c>
      <x:c r="C7" s="20" t="str">
        <x:v>Breakers</x:v>
      </x:c>
      <x:c r="D7" s="20" t="str">
        <x:v>Each Breaker has exactly two terminals</x:v>
      </x:c>
      <x:c r="E7" s="20" t="str">
        <x:v>PASS</x:v>
      </x:c>
      <x:c r="F7" s="20" t="str">
        <x:v>0 breaker terminal-cardinality issues.</x:v>
      </x:c>
      <x:c r="G7" s="20" t="str"/>
    </x:row>
    <x:row r="8">
      <x:c r="A8" s="20" t="str">
        <x:v>VAL-004</x:v>
      </x:c>
      <x:c r="B8" s="20" t="str">
        <x:v>ERROR</x:v>
      </x:c>
      <x:c r="C8" s="20" t="str">
        <x:v>Disconnectors</x:v>
      </x:c>
      <x:c r="D8" s="20" t="str">
        <x:v>Each Disconnector has exactly two terminals</x:v>
      </x:c>
      <x:c r="E8" s="20" t="str">
        <x:v>PASS</x:v>
      </x:c>
      <x:c r="F8" s="20" t="str">
        <x:v>0 disconnector terminal-cardinality issues.</x:v>
      </x:c>
      <x:c r="G8" s="20" t="str"/>
    </x:row>
    <x:row r="9">
      <x:c r="A9" s="20" t="str">
        <x:v>VAL-005</x:v>
      </x:c>
      <x:c r="B9" s="20" t="str">
        <x:v>ERROR</x:v>
      </x:c>
      <x:c r="C9" s="20" t="str">
        <x:v>ACLineSegment</x:v>
      </x:c>
      <x:c r="D9" s="20" t="str">
        <x:v>Each ACLineSegment has exactly two terminals</x:v>
      </x:c>
      <x:c r="E9" s="20" t="str">
        <x:v>PASS</x:v>
      </x:c>
      <x:c r="F9" s="20" t="str">
        <x:v>0 line terminal-cardinality issues.</x:v>
      </x:c>
      <x:c r="G9" s="20" t="str"/>
    </x:row>
    <x:row r="10">
      <x:c r="A10" s="20" t="str">
        <x:v>VAL-006</x:v>
      </x:c>
      <x:c r="B10" s="20" t="str">
        <x:v>WARNING</x:v>
      </x:c>
      <x:c r="C10" s="20" t="str">
        <x:v>ACLineSegment</x:v>
      </x:c>
      <x:c r="D10" s="20" t="str">
        <x:v>r, x, bch, and gch populated</x:v>
      </x:c>
      <x:c r="E10" s="20" t="str">
        <x:v>OPEN</x:v>
      </x:c>
      <x:c r="F10" s="20" t="str">
        <x:v>Topology is populated, but electrical parameters are intentionally pending.</x:v>
      </x:c>
      <x:c r="G10" s="20" t="str">
        <x:v>Load conductor catalogue/configuration and calculate per-circuit parameters.</x:v>
      </x:c>
    </x:row>
    <x:row r="11">
      <x:c r="A11" s="20" t="str">
        <x:v>VAL-007</x:v>
      </x:c>
      <x:c r="B11" s="20" t="str">
        <x:v>WARNING</x:v>
      </x:c>
      <x:c r="C11" s="20" t="str">
        <x:v>CB/DS</x:v>
      </x:c>
      <x:c r="D11" s="20" t="str">
        <x:v>Operational equipment tags mapped</x:v>
      </x:c>
      <x:c r="E11" s="20" t="str">
        <x:v>OPEN</x:v>
      </x:c>
      <x:c r="F11" s="20" t="str">
        <x:v>Generated CB/DS have canonical POC IDs but no SAP/SCADA tags.</x:v>
      </x:c>
      <x:c r="G11" s="20" t="str">
        <x:v>Reconcile with asset registry and SCADA point list.</x:v>
      </x:c>
    </x:row>
    <x:row r="12">
      <x:c r="A12" s="20" t="str">
        <x:v>VAL-008</x:v>
      </x:c>
      <x:c r="B12" s="20" t="str">
        <x:v>WARNING</x:v>
      </x:c>
      <x:c r="C12" s="20" t="str">
        <x:v>Generator</x:v>
      </x:c>
      <x:c r="D12" s="20" t="str">
        <x:v>Generator and GSU ratings confirmed</x:v>
      </x:c>
      <x:c r="E12" s="20" t="str">
        <x:v>OPEN</x:v>
      </x:c>
      <x:c r="F12" s="20" t="str">
        <x:v>GSU ratio and machine ratings remain provisional.</x:v>
      </x:c>
      <x:c r="G12" s="20" t="str">
        <x:v>Use plant SLD, generator datasheet, and transformer test sheet.</x:v>
      </x:c>
    </x:row>
    <x:row r="13">
      <x:c r="A13" s="20" t="str">
        <x:v>VAL-009</x:v>
      </x:c>
      <x:c r="B13" s="20" t="str">
        <x:v>WARNING</x:v>
      </x:c>
      <x:c r="C13" s="20" t="str">
        <x:v>Remote substations</x:v>
      </x:c>
      <x:c r="D13" s="20" t="str">
        <x:v>Remote node-breaker topology complete</x:v>
      </x:c>
      <x:c r="E13" s="20" t="str">
        <x:v>OUT_OF_SCOPE</x:v>
      </x:c>
      <x:c r="F13" s="20" t="str">
        <x:v>Remote ends are represented by boundary nodes only.</x:v>
      </x:c>
      <x:c r="G13" s="20" t="str">
        <x:v>Extend the same template to each remote GI in the next iteration.</x:v>
      </x:c>
    </x:row>
  </x:sheetData>
  <x:mergeCells>
    <x:mergeCell ref="A1:G1"/>
    <x:mergeCell ref="A2:G2"/>
  </x:mergeCells>
  <x:conditionalFormatting sqref="E5:E13">
    <x:cfRule type="expression" dxfId="1" priority="1">
      <x:formula>E5="PASS"</x:formula>
    </x:cfRule>
    <x:cfRule type="expression" dxfId="2" priority="2">
      <x:formula>E5="OPEN"</x:formula>
    </x:cfRule>
    <x:cfRule type="expression" dxfId="3" priority="3">
      <x:formula>E5="FAIL"</x:formula>
    </x:cfRule>
    <x:cfRule type="expression" dxfId="4" priority="4">
      <x:formula>E5="OUT_OF_SCOPE"</x:formula>
    </x:cfRule>
  </x:conditionalFormatting>
  <x:dataValidations count="2">
    <x:dataValidation type="list" sqref="B5:B13">
      <x:formula1>"ERROR,WARNING,INFO"</x:formula1>
    </x:dataValidation>
    <x:dataValidation type="list" sqref="E5:E13">
      <x:formula1>"PASS,FAIL,OPEN,OUT_OF_SCOPE"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01e5c055f944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20" hidden="0" customWidth="1"/>
    <x:col min="5" max="5" width="65" hidden="0" customWidth="1"/>
    <x:col min="6" max="6" width="60" hidden="0" customWidth="1"/>
  </x:cols>
  <x:sheetData>
    <x:row r="1" ht="28" customHeight="1">
      <x:c r="A1" s="24" t="str">
        <x:v>Source XML Diagnostic</x:v>
      </x:c>
      <x:c r="B1" s="24"/>
      <x:c r="C1" s="24"/>
      <x:c r="D1" s="24"/>
      <x:c r="E1" s="24"/>
      <x:c r="F1" s="24"/>
    </x:row>
    <x:row r="2" ht="34" customHeight="1">
      <x:c r="A2" s="30" t="str">
        <x:v>Issues detected in the supplied XML that materially affect NMM identity, topology, or electrical completeness.</x:v>
      </x:c>
      <x:c r="B2" s="30"/>
      <x:c r="C2" s="30"/>
      <x:c r="D2" s="30"/>
      <x:c r="E2" s="30"/>
      <x:c r="F2" s="30"/>
    </x:row>
    <x:row r="4" ht="30" customHeight="1">
      <x:c r="A4" s="36" t="str">
        <x:v>issue_id</x:v>
      </x:c>
      <x:c r="B4" s="36" t="str">
        <x:v>severity</x:v>
      </x:c>
      <x:c r="C4" s="36" t="str">
        <x:v>metric</x:v>
      </x:c>
      <x:c r="D4" s="36" t="str">
        <x:v>value</x:v>
      </x:c>
      <x:c r="E4" s="36" t="str">
        <x:v>finding</x:v>
      </x:c>
      <x:c r="F4" s="36" t="str">
        <x:v>POC_treatment</x:v>
      </x:c>
    </x:row>
    <x:row r="5">
      <x:c r="A5" s="20" t="str">
        <x:v>SRC-001</x:v>
      </x:c>
      <x:c r="B5" s="20" t="str">
        <x:v>HIGH</x:v>
      </x:c>
      <x:c r="C5" s="20" t="str">
        <x:v>Duplicate GI Gilimanuk Substation objects</x:v>
      </x:c>
      <x:c r="D5" s="20" t="n">
        <x:v>19</x:v>
      </x:c>
      <x:c r="E5" s="20" t="str">
        <x:v>The same physical GI is repeated as a new Substation object for individual source equipment.</x:v>
      </x:c>
      <x:c r="F5" s="20" t="str">
        <x:v>Collapsed to one canonical Substation.</x:v>
      </x:c>
    </x:row>
    <x:row r="6">
      <x:c r="A6" s="20" t="str">
        <x:v>SRC-002</x:v>
      </x:c>
      <x:c r="B6" s="20" t="str">
        <x:v>HIGH</x:v>
      </x:c>
      <x:c r="C6" s="20" t="str">
        <x:v>Breaker objects associated with Gilimanuk</x:v>
      </x:c>
      <x:c r="D6" s="20" t="n">
        <x:v>0</x:v>
      </x:c>
      <x:c r="E6" s="20" t="str">
        <x:v>No unique Breaker objects are present in the source subset.</x:v>
      </x:c>
      <x:c r="F6" s="20" t="str">
        <x:v>Generated provisional Breaker objects from bay templates.</x:v>
      </x:c>
    </x:row>
    <x:row r="7">
      <x:c r="A7" s="20" t="str">
        <x:v>SRC-003</x:v>
      </x:c>
      <x:c r="B7" s="20" t="str">
        <x:v>HIGH</x:v>
      </x:c>
      <x:c r="C7" s="20" t="str">
        <x:v>Disconnector objects associated with Gilimanuk</x:v>
      </x:c>
      <x:c r="D7" s="20" t="n">
        <x:v>2</x:v>
      </x:c>
      <x:c r="E7" s="20" t="str">
        <x:v>Only generator-related Disconnectors are present; line and transformer bay DS are absent.</x:v>
      </x:c>
      <x:c r="F7" s="20" t="str">
        <x:v>Generated provisional DS objects with explicit terminal/node relationships.</x:v>
      </x:c>
    </x:row>
    <x:row r="8">
      <x:c r="A8" s="20" t="str">
        <x:v>SRC-004</x:v>
      </x:c>
      <x:c r="B8" s="20" t="str">
        <x:v>HIGH</x:v>
      </x:c>
      <x:c r="C8" s="20" t="str">
        <x:v>Placeholder values in full source XML</x:v>
      </x:c>
      <x:c r="D8" s="20" t="n">
        <x:v>4061</x:v>
      </x:c>
      <x:c r="E8" s="20" t="str">
        <x:v>Many technical fields contain $(Isi_...) template expressions.</x:v>
      </x:c>
      <x:c r="F8" s="20" t="str">
        <x:v>Topology fields are resolved; unavailable technical values are marked PENDING rather than filled with fabricated zeros.</x:v>
      </x:c>
    </x:row>
    <x:row r="9">
      <x:c r="A9" s="20" t="str">
        <x:v>SRC-005</x:v>
      </x:c>
      <x:c r="B9" s="20" t="str">
        <x:v>HIGH</x:v>
      </x:c>
      <x:c r="C9" s="20" t="str">
        <x:v>Placeholder values in Gilimanuk-related objects</x:v>
      </x:c>
      <x:c r="D9" s="20" t="n">
        <x:v>88</x:v>
      </x:c>
      <x:c r="E9" s="20" t="str">
        <x:v>Line, transformer, and generator technical values are incomplete.</x:v>
      </x:c>
      <x:c r="F9" s="20" t="str">
        <x:v>Only values supported by the overview SLD are populated.</x:v>
      </x:c>
    </x:row>
    <x:row r="10">
      <x:c r="A10" s="20" t="str">
        <x:v>SRC-006</x:v>
      </x:c>
      <x:c r="B10" s="20" t="str">
        <x:v>MEDIUM</x:v>
      </x:c>
      <x:c r="C10" s="20" t="str">
        <x:v>rdf:ID vs mRID mismatches in full source XML</x:v>
      </x:c>
      <x:c r="D10" s="20" t="n">
        <x:v>291</x:v>
      </x:c>
      <x:c r="E10" s="20" t="str">
        <x:v>A large number of resources use different RDF identifiers and mRID values.</x:v>
      </x:c>
      <x:c r="F10" s="20" t="str">
        <x:v>Generated deterministic UUIDs with rdf:ID = '_' + mRID.</x:v>
      </x:c>
    </x:row>
    <x:row r="11">
      <x:c r="A11" s="20" t="str">
        <x:v>SRC-007</x:v>
      </x:c>
      <x:c r="B11" s="20" t="str">
        <x:v>MEDIUM</x:v>
      </x:c>
      <x:c r="C11" s="20" t="str">
        <x:v>rdf:ID vs mRID mismatches in Gilimanuk-related objects</x:v>
      </x:c>
      <x:c r="D11" s="20" t="n">
        <x:v>4</x:v>
      </x:c>
      <x:c r="E11" s="20" t="str">
        <x:v>Some Gilimanuk ConnectivityNode resources have inconsistent identifiers.</x:v>
      </x:c>
      <x:c r="F11" s="20" t="str">
        <x:v>Source identifiers are kept only as aliases.</x:v>
      </x:c>
    </x:row>
    <x:row r="12">
      <x:c r="A12" s="20" t="str">
        <x:v>SRC-008</x:v>
      </x:c>
      <x:c r="B12" s="20" t="str">
        <x:v>MEDIUM</x:v>
      </x:c>
      <x:c r="C12" s="20" t="str">
        <x:v>Unresolved local rdf:resource references in source XML</x:v>
      </x:c>
      <x:c r="D12" s="20" t="n">
        <x:v>0</x:v>
      </x:c>
      <x:c r="E12" s="20" t="str">
        <x:v>The source is internally reference-complete despite semantic duplication.</x:v>
      </x:c>
      <x:c r="F12" s="20" t="str">
        <x:v>Structural integrity is preserved in the canonical output.</x:v>
      </x:c>
    </x:row>
    <x:row r="13">
      <x:c r="A13" s="20" t="str">
        <x:v>SRC-009</x:v>
      </x:c>
      <x:c r="B13" s="20" t="str">
        <x:v>HIGH</x:v>
      </x:c>
      <x:c r="C13" s="20" t="str">
        <x:v>Transformer LV BaseVoltage</x:v>
      </x:c>
      <x:c r="D13" s="20" t="str">
        <x:v>150 kV in source examples</x:v>
      </x:c>
      <x:c r="E13" s="20" t="str">
        <x:v>Transformer descriptions state 150/20 kV, but both source BaseVoltage objects are set to 150 kV.</x:v>
      </x:c>
      <x:c r="F13" s="20" t="str">
        <x:v>HV and LV ends are explicitly assigned to 150 kV and 20 kV.</x:v>
      </x:c>
    </x:row>
    <x:row r="14">
      <x:c r="A14" s="20" t="str">
        <x:v>SRC-010</x:v>
      </x:c>
      <x:c r="B14" s="20" t="str">
        <x:v>MEDIUM</x:v>
      </x:c>
      <x:c r="C14" s="20" t="str">
        <x:v>Model.created metadata</x:v>
      </x:c>
      <x:c r="D14" s="20" t="str">
        <x:v>Concatenated timestamps</x:v>
      </x:c>
      <x:c r="E14" s="20" t="str">
        <x:v>The source metadata contains two timestamp strings in one element.</x:v>
      </x:c>
      <x:c r="F14" s="20" t="str">
        <x:v>Replaced by one ISO-8601 UTC timestamp.</x:v>
      </x:c>
    </x:row>
  </x:sheetData>
  <x:mergeCells>
    <x:mergeCell ref="A1:F1"/>
    <x:mergeCell ref="A2:F2"/>
  </x:mergeCells>
  <x:conditionalFormatting sqref="B5:B14">
    <x:cfRule type="expression" dxfId="5" priority="1">
      <x:formula>B5="HIGH"</x:formula>
    </x:cfRule>
    <x:cfRule type="expression" dxfId="6" priority="2">
      <x:formula>B5="MEDIUM"</x:formula>
    </x:cfRule>
  </x:conditionalFormatting>
  <x:dataValidations count="1">
    <x:dataValidation type="list" sqref="B5:B1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73235ce36144fe"/>
  </x:tableParts>
</x:worksheet>
</file>