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df9814700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c1282627b94a15"/>
    <x:sheet xmlns:r="http://schemas.openxmlformats.org/officeDocument/2006/relationships" name="Canonical_Objects" sheetId="2" r:id="R1b276e0b73b8417d"/>
    <x:sheet xmlns:r="http://schemas.openxmlformats.org/officeDocument/2006/relationships" name="Bay_Topology" sheetId="3" r:id="R9a81a1a08e2942fe"/>
    <x:sheet xmlns:r="http://schemas.openxmlformats.org/officeDocument/2006/relationships" name="Source_Mapping" sheetId="4" r:id="Rfbb2ba639b0f4b24"/>
    <x:sheet xmlns:r="http://schemas.openxmlformats.org/officeDocument/2006/relationships" name="Electrical_Data" sheetId="5" r:id="Ref90f27e3711441e"/>
    <x:sheet xmlns:r="http://schemas.openxmlformats.org/officeDocument/2006/relationships" name="Assumptions" sheetId="6" r:id="R139a2818d2874354"/>
    <x:sheet xmlns:r="http://schemas.openxmlformats.org/officeDocument/2006/relationships" name="Validation" sheetId="7" r:id="R619773ccafa8435e"/>
    <x:sheet xmlns:r="http://schemas.openxmlformats.org/officeDocument/2006/relationships" name="Source_Issues" sheetId="8" r:id="Ref66e62abf9141fe"/>
    <x:sheet xmlns:r="http://schemas.openxmlformats.org/officeDocument/2006/relationships" name="Model_Comparison" sheetId="9" r:id="Ra0214273352f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7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dd60238d14839" /><Relationship Type="http://schemas.openxmlformats.org/officeDocument/2006/relationships/theme" Target="/xl/theme/theme1.xml" Id="R3b6f1a450c7b4abf" /><Relationship Type="http://schemas.microsoft.com/office/2022/11/relationships/FeaturePropertyBag" Target="/xl/featurePropertyBag/featurePropertyBag.xml" Id="Rb852557bdb454653" /><Relationship Type="http://schemas.openxmlformats.org/officeDocument/2006/relationships/sharedStrings" Target="/xl/sharedStrings.xml" Id="R1340210c58b2455a" /><Relationship Type="http://schemas.openxmlformats.org/officeDocument/2006/relationships/worksheet" Target="/xl/worksheets/sheet1.xml" Id="R32c1282627b94a15" /><Relationship Type="http://schemas.openxmlformats.org/officeDocument/2006/relationships/worksheet" Target="/xl/worksheets/sheet2.xml" Id="R1b276e0b73b8417d" /><Relationship Type="http://schemas.openxmlformats.org/officeDocument/2006/relationships/worksheet" Target="/xl/worksheets/sheet3.xml" Id="R9a81a1a08e2942fe" /><Relationship Type="http://schemas.openxmlformats.org/officeDocument/2006/relationships/worksheet" Target="/xl/worksheets/sheet4.xml" Id="Rfbb2ba639b0f4b24" /><Relationship Type="http://schemas.openxmlformats.org/officeDocument/2006/relationships/worksheet" Target="/xl/worksheets/sheet5.xml" Id="Ref90f27e3711441e" /><Relationship Type="http://schemas.openxmlformats.org/officeDocument/2006/relationships/worksheet" Target="/xl/worksheets/sheet6.xml" Id="R139a2818d2874354" /><Relationship Type="http://schemas.openxmlformats.org/officeDocument/2006/relationships/worksheet" Target="/xl/worksheets/sheet7.xml" Id="R619773ccafa8435e" /><Relationship Type="http://schemas.openxmlformats.org/officeDocument/2006/relationships/worksheet" Target="/xl/worksheets/sheet8.xml" Id="Ref66e62abf9141fe" /><Relationship Type="http://schemas.openxmlformats.org/officeDocument/2006/relationships/worksheet" Target="/xl/worksheets/sheet9.xml" Id="Ra0214273352f4f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I_GillCanonicalObjects" displayName="GI_GillCanonicalObjects" ref="A4:L159" headerRowCount="1">
  <x:tableColumns count="12">
    <x:tableColumn id="1" name="canonical_id"/>
    <x:tableColumn id="2" name="mrid"/>
    <x:tableColumn id="3" name="cim_class"/>
    <x:tableColumn id="4" name="name"/>
    <x:tableColumn id="5" name="substation"/>
    <x:tableColumn id="6" name="voltage_kv"/>
    <x:tableColumn id="7" name="bay"/>
    <x:tableColumn id="8" name="provenance"/>
    <x:tableColumn id="9" name="confidence"/>
    <x:tableColumn id="10" name="status"/>
    <x:tableColumn id="11" name="source_mrids"/>
    <x:tableColumn id="1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GI_GillBayTopology" displayName="GI_GillBayTopology" ref="A4:K40" headerRowCount="1">
  <x:tableColumns count="11">
    <x:tableColumn id="1" name="bay"/>
    <x:tableColumn id="2" name="equipment_id"/>
    <x:tableColumn id="3" name="equipment_class"/>
    <x:tableColumn id="4" name="equipment_name"/>
    <x:tableColumn id="5" name="terminal_1"/>
    <x:tableColumn id="6" name="node_1"/>
    <x:tableColumn id="7" name="terminal_2"/>
    <x:tableColumn id="8" name="node_2"/>
    <x:tableColumn id="9" name="normal_open"/>
    <x:tableColumn id="10" name="provenance"/>
    <x:tableColumn id="11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GI_GillSourceMapping" displayName="GI_GillSourceMapping" ref="A4:I26" headerRowCount="1">
  <x:tableColumns count="9">
    <x:tableColumn id="1" name="source_class"/>
    <x:tableColumn id="2" name="source_mrid"/>
    <x:tableColumn id="3" name="source_name"/>
    <x:tableColumn id="4" name="source_description"/>
    <x:tableColumn id="5" name="canonical_id"/>
    <x:tableColumn id="6" name="mapping_status"/>
    <x:tableColumn id="7" name="mapping_rule"/>
    <x:tableColumn id="8" name="confidence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GI_GillElectricalData" displayName="GI_GillElectricalData" ref="A4:O13" headerRowCount="1">
  <x:tableColumns count="15">
    <x:tableColumn id="1" name="bay"/>
    <x:tableColumn id="2" name="source_mrid"/>
    <x:tableColumn id="3" name="equipment"/>
    <x:tableColumn id="4" name="class"/>
    <x:tableColumn id="5" name="rated_u_kv"/>
    <x:tableColumn id="6" name="rated_s_mva"/>
    <x:tableColumn id="7" name="p_mw"/>
    <x:tableColumn id="8" name="q_mvar"/>
    <x:tableColumn id="9" name="r"/>
    <x:tableColumn id="10" name="x"/>
    <x:tableColumn id="11" name="b_or_bch"/>
    <x:tableColumn id="12" name="g_or_gch"/>
    <x:tableColumn id="13" name="length_km"/>
    <x:tableColumn id="14" name="status"/>
    <x:tableColumn id="15" name="review_note"/>
  </x:tableColumns>
  <x:tableStyleInfo name="TableStyleMedium2" showRowStripes="1"/>
</x:table>
</file>

<file path=xl/tables/table5.xml><?xml version="1.0" encoding="utf-8"?>
<x:table xmlns:x="http://schemas.openxmlformats.org/spreadsheetml/2006/main" id="5" name="GI_GillAssumptions" displayName="GI_GillAssumptions" ref="A4:I9" headerRowCount="1">
  <x:tableColumns count="9">
    <x:tableColumn id="1" name="assumption_id"/>
    <x:tableColumn id="2" name="category"/>
    <x:tableColumn id="3" name="object"/>
    <x:tableColumn id="4" name="field"/>
    <x:tableColumn id="5" name="assumed_value"/>
    <x:tableColumn id="6" name="basis"/>
    <x:tableColumn id="7" name="confidence"/>
    <x:tableColumn id="8" name="review_required"/>
    <x:tableColumn id="9" name="impact"/>
  </x:tableColumns>
  <x:tableStyleInfo name="TableStyleMedium2" showRowStripes="1"/>
</x:table>
</file>

<file path=xl/tables/table6.xml><?xml version="1.0" encoding="utf-8"?>
<x:table xmlns:x="http://schemas.openxmlformats.org/spreadsheetml/2006/main" id="6" name="GI_GillValidation" displayName="GI_GillValidation" ref="A4:G13" headerRowCount="1">
  <x:tableColumns count="7">
    <x:tableColumn id="1" name="rule_id"/>
    <x:tableColumn id="2" name="severity"/>
    <x:tableColumn id="3" name="scope"/>
    <x:tableColumn id="4" name="rule"/>
    <x:tableColumn id="5" name="status"/>
    <x:tableColumn id="6" name="detail"/>
    <x:tableColumn id="7" name="required_action"/>
  </x:tableColumns>
  <x:tableStyleInfo name="TableStyleMedium2" showRowStripes="1"/>
</x:table>
</file>

<file path=xl/tables/table7.xml><?xml version="1.0" encoding="utf-8"?>
<x:table xmlns:x="http://schemas.openxmlformats.org/spreadsheetml/2006/main" id="7" name="GI_GillSourceIssues" displayName="GI_GillSourceIssues" ref="A4:F11" headerRowCount="1">
  <x:tableColumns count="6">
    <x:tableColumn id="1" name="issue_id"/>
    <x:tableColumn id="2" name="severity"/>
    <x:tableColumn id="3" name="metric"/>
    <x:tableColumn id="4" name="value"/>
    <x:tableColumn id="5" name="finding"/>
    <x:tableColumn id="6" name="treatment"/>
  </x:tableColumns>
  <x:tableStyleInfo name="TableStyleMedium2" showRowStripes="1"/>
</x:table>
</file>

<file path=xl/tables/table8.xml><?xml version="1.0" encoding="utf-8"?>
<x:table xmlns:x="http://schemas.openxmlformats.org/spreadsheetml/2006/main" id="8" name="NMMTwoLevelComparison" displayName="NMMTwoLevelComparison" ref="A4:C11" headerRowCount="1">
  <x:tableColumns count="3">
    <x:tableColumn id="1" name="dimension"/>
    <x:tableColumn id="2" name="system_level"/>
    <x:tableColumn id="3" name="substation_le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8d43d94afb4a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85425d72884a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12ea0fb1fe45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9926d911b741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ea2734dd9344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8cb871c8ed45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a30391abde42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b9dd44083c422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9" hidden="0" customWidth="1"/>
    <x:col min="3" max="3" width="4" hidden="0" customWidth="1"/>
    <x:col min="4" max="4" width="34" hidden="0" customWidth="1"/>
    <x:col min="5" max="5" width="17" hidden="0" customWidth="1"/>
    <x:col min="6" max="6" width="4" hidden="0" customWidth="1"/>
    <x:col min="7" max="7" width="28" hidden="0" customWidth="1"/>
    <x:col min="8" max="8" width="18" hidden="0" customWidth="1"/>
  </x:cols>
  <x:sheetData>
    <x:row r="1" ht="32" customHeight="1">
      <x:c r="A1" s="4" t="str">
        <x:v>GI_GILL — SINGLE-SUBSTATION NMM/CIM MODEL</x:v>
      </x:c>
      <x:c r="B1" s="4"/>
      <x:c r="C1" s="4"/>
      <x:c r="D1" s="4"/>
      <x:c r="E1" s="4"/>
      <x:c r="F1" s="4"/>
      <x:c r="G1" s="4"/>
      <x:c r="H1" s="4"/>
    </x:row>
    <x:row r="2" ht="40" customHeight="1">
      <x:c r="A2" s="10" t="str">
        <x:v>Detailed internal-GI model generated from the focused one-substation XML. The original bus-branch structure is expanded into explicit bay, CB, DS, Terminal, and ConnectivityNode objects.</x:v>
      </x:c>
      <x:c r="B2" s="10"/>
      <x:c r="C2" s="10"/>
      <x:c r="D2" s="10"/>
      <x:c r="E2" s="10"/>
      <x:c r="F2" s="10"/>
      <x:c r="G2" s="10"/>
      <x:c r="H2" s="10"/>
    </x:row>
    <x:row r="4">
      <x:c r="A4" s="15" t="str">
        <x:v>Model scope</x:v>
      </x:c>
      <x:c r="B4" s="15" t="str">
        <x:v>Value</x:v>
      </x:c>
      <x:c r="D4" s="15" t="str">
        <x:v>Source diagnostics</x:v>
      </x:c>
      <x:c r="E4" s="15" t="str">
        <x:v>Value</x:v>
      </x:c>
      <x:c r="G4" s="15" t="str">
        <x:v>Canonical KPI</x:v>
      </x:c>
      <x:c r="H4" s="15" t="str">
        <x:v>Value</x:v>
      </x:c>
    </x:row>
    <x:row r="5">
      <x:c r="A5" s="18" t="str">
        <x:v>Model level</x:v>
      </x:c>
      <x:c r="B5" s="18" t="str">
        <x:v>Single substation / internal GI</x:v>
      </x:c>
      <x:c r="D5" t="str">
        <x:v>Source Substation objects</x:v>
      </x:c>
      <x:c r="E5" t="n">
        <x:v>10</x:v>
      </x:c>
      <x:c r="G5" t="str">
        <x:v>Canonical objects</x:v>
      </x:c>
      <x:c r="H5" t="n">
        <x:f>COUNTA(Canonical_Objects!A5:A1000)</x:f>
        <x:v>155</x:v>
      </x:c>
    </x:row>
    <x:row r="6">
      <x:c r="A6" s="18" t="str">
        <x:v>Substation</x:v>
      </x:c>
      <x:c r="B6" s="18" t="str">
        <x:v>GI_Gill</x:v>
      </x:c>
      <x:c r="D6" t="str">
        <x:v>GI_Gill duplicate Substations</x:v>
      </x:c>
      <x:c r="E6" t="n">
        <x:v>10</x:v>
      </x:c>
      <x:c r="G6" t="str">
        <x:v>Bays</x:v>
      </x:c>
      <x:c r="H6" t="n">
        <x:f>COUNTIF(Canonical_Objects!C5:C1000,"Bay")</x:f>
        <x:v>9</x:v>
      </x:c>
    </x:row>
    <x:row r="7">
      <x:c r="A7" s="18" t="str">
        <x:v>Voltage level</x:v>
      </x:c>
      <x:c r="B7" s="18" t="str">
        <x:v>150 kV</x:v>
      </x:c>
      <x:c r="D7" t="str">
        <x:v>Source Breakers</x:v>
      </x:c>
      <x:c r="E7" t="n">
        <x:v>0</x:v>
      </x:c>
      <x:c r="G7" t="str">
        <x:v>Breakers</x:v>
      </x:c>
      <x:c r="H7" t="n">
        <x:f>COUNTIF(Canonical_Objects!C5:C1000,"Breaker")</x:f>
        <x:v>9</x:v>
      </x:c>
    </x:row>
    <x:row r="8">
      <x:c r="A8" s="18" t="str">
        <x:v>Bay template</x:v>
      </x:c>
      <x:c r="B8" s="18" t="str">
        <x:v>Single-bus single-breaker</x:v>
      </x:c>
      <x:c r="D8" t="str">
        <x:v>Source Disconnectors</x:v>
      </x:c>
      <x:c r="E8" t="n">
        <x:v>2</x:v>
      </x:c>
      <x:c r="G8" t="str">
        <x:v>Disconnectors</x:v>
      </x:c>
      <x:c r="H8" t="n">
        <x:f>COUNTIF(Canonical_Objects!C5:C1000,"Disconnector")</x:f>
        <x:v>18</x:v>
      </x:c>
    </x:row>
    <x:row r="9">
      <x:c r="A9" s="18" t="str">
        <x:v>Source XML</x:v>
      </x:c>
      <x:c r="B9" s="18" t="str">
        <x:v>02d_CIM_EQ_1-SS_Filled-WithCoordinate_250604.xml</x:v>
      </x:c>
      <x:c r="D9" t="str">
        <x:v>Source primary equipment</x:v>
      </x:c>
      <x:c r="E9" t="n">
        <x:v>10</x:v>
      </x:c>
      <x:c r="G9" t="str">
        <x:v>Primary equipment</x:v>
      </x:c>
      <x:c r="H9" t="n">
        <x:f>COUNTIF(Canonical_Objects!C5:C1000,"SynchronousMachine")+COUNTIF(Canonical_Objects!C5:C1000,"PowerTransformer")+COUNTIF(Canonical_Objects!C5:C1000,"ACLineSegment")+COUNTIF(Canonical_Objects!C5:C1000,"ConformLoad")</x:f>
        <x:v>9</x:v>
      </x:c>
    </x:row>
    <x:row r="10">
      <x:c r="A10" s="18" t="str">
        <x:v>Output XML</x:v>
      </x:c>
      <x:c r="B10" s="18" t="str">
        <x:v>GI_Gill_NMM_Substation_Level_Canonical_Draft.xml</x:v>
      </x:c>
      <x:c r="D10" t="str">
        <x:v>rdf:ID/mRID mismatches</x:v>
      </x:c>
      <x:c r="E10" t="n">
        <x:v>9</x:v>
      </x:c>
      <x:c r="G10" t="str">
        <x:v>ConnectivityNodes</x:v>
      </x:c>
      <x:c r="H10" t="n">
        <x:f>COUNTIF(Canonical_Objects!C5:C1000,"ConnectivityNode")</x:f>
        <x:v>32</x:v>
      </x:c>
    </x:row>
    <x:row r="11">
      <x:c r="A11" s="18" t="str">
        <x:v>Status</x:v>
      </x:c>
      <x:c r="B11" s="18" t="str">
        <x:v>DRAFT — detailed SLD and asset mapping required</x:v>
      </x:c>
      <x:c r="G11" t="str">
        <x:v>Terminals</x:v>
      </x:c>
      <x:c r="H11" t="n">
        <x:f>COUNTIF(Canonical_Objects!C5:C1000,"Terminal")</x:f>
        <x:v>68</x:v>
      </x:c>
    </x:row>
    <x:row r="12">
      <x:c r="G12" t="str">
        <x:v>Open validations</x:v>
      </x:c>
      <x:c r="H12" t="n">
        <x:f>COUNTIF(Validation!E5:E100,"OPEN")</x:f>
        <x:v>2</x:v>
      </x:c>
    </x:row>
    <x:row r="15">
      <x:c r="A15" s="15" t="str">
        <x:v>Relationship with the system-level model</x:v>
      </x:c>
      <x:c r="B15" s="15"/>
      <x:c r="C15" s="15"/>
      <x:c r="D15" s="15"/>
      <x:c r="E15" s="15"/>
      <x:c r="F15" s="15"/>
      <x:c r="G15" s="15"/>
      <x:c r="H15" s="15"/>
    </x:row>
    <x:row r="16">
      <x:c r="A16" s="20" t="str">
        <x:v>The system/inter-GI model identifies substations and interconnection circuits. This substation-level model resolves the internal switching arrangement within one GI. In a production NMM, an inter-GI line terminal in the system model is linked to the corresponding line-bay boundary terminal in this detailed substation model using persistent canonical identifiers.</x:v>
      </x:c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</x:sheetData>
  <x:mergeCells>
    <x:mergeCell ref="A1:H1"/>
    <x:mergeCell ref="A2:H2"/>
    <x:mergeCell ref="A15:H15"/>
    <x:mergeCell ref="A16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24" hidden="0" customWidth="1"/>
    <x:col min="4" max="4" width="42" hidden="0" customWidth="1"/>
    <x:col min="5" max="5" width="18" hidden="0" customWidth="1"/>
    <x:col min="6" max="6" width="12" hidden="0" customWidth="1"/>
    <x:col min="7" max="7" width="20" hidden="0" customWidth="1"/>
    <x:col min="8" max="8" width="28" hidden="0" customWidth="1"/>
    <x:col min="9" max="9" width="12" hidden="0" customWidth="1"/>
    <x:col min="10" max="10" width="12" hidden="0" customWidth="1"/>
    <x:col min="11" max="11" width="44" hidden="0" customWidth="1"/>
    <x:col min="12" max="12" width="58" hidden="0" customWidth="1"/>
  </x:cols>
  <x:sheetData>
    <x:row r="1" ht="28" customHeight="1">
      <x:c r="A1" s="23" t="str">
        <x:v>Canonical Object Registry — GI_Gill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36" customHeight="1">
      <x:c r="A2" s="26" t="str">
        <x:v>One persistent canonical mRID is assigned to every equipment, terminal, node, and hierarchy object.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4" ht="30" customHeight="1">
      <x:c r="A4" s="30" t="str">
        <x:v>canonical_id</x:v>
      </x:c>
      <x:c r="B4" s="30" t="str">
        <x:v>mrid</x:v>
      </x:c>
      <x:c r="C4" s="30" t="str">
        <x:v>cim_class</x:v>
      </x:c>
      <x:c r="D4" s="30" t="str">
        <x:v>name</x:v>
      </x:c>
      <x:c r="E4" s="30" t="str">
        <x:v>substation</x:v>
      </x:c>
      <x:c r="F4" s="30" t="str">
        <x:v>voltage_kv</x:v>
      </x:c>
      <x:c r="G4" s="30" t="str">
        <x:v>bay</x:v>
      </x:c>
      <x:c r="H4" s="30" t="str">
        <x:v>provenance</x:v>
      </x:c>
      <x:c r="I4" s="30" t="str">
        <x:v>confidence</x:v>
      </x:c>
      <x:c r="J4" s="30" t="str">
        <x:v>status</x:v>
      </x:c>
      <x:c r="K4" s="30" t="str">
        <x:v>source_mrids</x:v>
      </x:c>
      <x:c r="L4" s="30" t="str">
        <x:v>description</x:v>
      </x:c>
    </x:row>
    <x:row r="5">
      <x:c r="A5" s="20" t="str">
        <x:v>REG-GRID-IWA</x:v>
      </x:c>
      <x:c r="B5" s="20" t="str">
        <x:v>29d394de-5d90-59b3-b4d3-5e414c04625e</x:v>
      </x:c>
      <x:c r="C5" s="20" t="str">
        <x:v>GeographicalRegion</x:v>
      </x:c>
      <x:c r="D5" s="20" t="str">
        <x:v>Grid_Iwa</x:v>
      </x:c>
      <x:c r="E5" s="20" t="str"/>
      <x:c r="F5" s="20" t="str"/>
      <x:c r="G5" s="20" t="str"/>
      <x:c r="H5" s="20" t="str">
        <x:v>SOURCE_NORMALIZED</x:v>
      </x:c>
      <x:c r="I5" s="34" t="n">
        <x:v>0.98</x:v>
      </x:c>
      <x:c r="J5" s="20" t="str">
        <x:v>DRAFT</x:v>
      </x:c>
      <x:c r="K5" s="20" t="str"/>
      <x:c r="L5" s="20" t="str">
        <x:v>Canonical region from the focused sample XML.</x:v>
      </x:c>
    </x:row>
    <x:row r="6">
      <x:c r="A6" s="20" t="str">
        <x:v>SREG-KOTA-DEPOK</x:v>
      </x:c>
      <x:c r="B6" s="20" t="str">
        <x:v>513e42ef-b696-5a94-a62f-abe13088b065</x:v>
      </x:c>
      <x:c r="C6" s="20" t="str">
        <x:v>SubGeographicalRegion</x:v>
      </x:c>
      <x:c r="D6" s="20" t="str">
        <x:v>Kota_Depok</x:v>
      </x:c>
      <x:c r="E6" s="20" t="str"/>
      <x:c r="F6" s="20" t="str"/>
      <x:c r="G6" s="20" t="str"/>
      <x:c r="H6" s="20" t="str">
        <x:v>SOURCE_NORMALIZED</x:v>
      </x:c>
      <x:c r="I6" s="34" t="n">
        <x:v>0.98</x:v>
      </x:c>
      <x:c r="J6" s="20" t="str">
        <x:v>DRAFT</x:v>
      </x:c>
      <x:c r="K6" s="20" t="str"/>
      <x:c r="L6" s="20" t="str">
        <x:v>Canonical subregion from the focused sample XML.</x:v>
      </x:c>
    </x:row>
    <x:row r="7">
      <x:c r="A7" s="20" t="str">
        <x:v>SUB-GI-GILL</x:v>
      </x:c>
      <x:c r="B7" s="20" t="str">
        <x:v>55fd4e8a-91d4-55e7-95f1-68bf110f662e</x:v>
      </x:c>
      <x:c r="C7" s="20" t="str">
        <x:v>Substation</x:v>
      </x:c>
      <x:c r="D7" s="20" t="str">
        <x:v>GI_Gill</x:v>
      </x:c>
      <x:c r="E7" s="20" t="str">
        <x:v>GI_GILL</x:v>
      </x:c>
      <x:c r="F7" s="20" t="str"/>
      <x:c r="G7" s="20" t="str"/>
      <x:c r="H7" s="20" t="str">
        <x:v>SOURCE_NORMALIZED</x:v>
      </x:c>
      <x:c r="I7" s="34" t="n">
        <x:v>0.99</x:v>
      </x:c>
      <x:c r="J7" s="20" t="str">
        <x:v>DRAFT</x:v>
      </x:c>
      <x:c r="K7" s="20" t="str"/>
      <x:c r="L7" s="20" t="str">
        <x:v>Single canonical substation replacing repeated source Substation records.</x:v>
      </x:c>
    </x:row>
    <x:row r="8">
      <x:c r="A8" s="20" t="str">
        <x:v>BV-150</x:v>
      </x:c>
      <x:c r="B8" s="20" t="str">
        <x:v>a7846177-a022-57c8-b7ba-257e77733484</x:v>
      </x:c>
      <x:c r="C8" s="20" t="str">
        <x:v>BaseVoltage</x:v>
      </x:c>
      <x:c r="D8" s="20" t="str">
        <x:v>150 kV</x:v>
      </x:c>
      <x:c r="E8" s="20" t="str">
        <x:v>GI_GILL</x:v>
      </x:c>
      <x:c r="F8" s="20" t="n">
        <x:v>150</x:v>
      </x:c>
      <x:c r="G8" s="20" t="str"/>
      <x:c r="H8" s="20" t="str">
        <x:v>SOURCE_NORMALIZED</x:v>
      </x:c>
      <x:c r="I8" s="34" t="n">
        <x:v>1</x:v>
      </x:c>
      <x:c r="J8" s="20" t="str">
        <x:v>DRAFT</x:v>
      </x:c>
      <x:c r="K8" s="20" t="str"/>
      <x:c r="L8" s="20" t="str">
        <x:v>Canonical 150 kV base voltage.</x:v>
      </x:c>
    </x:row>
    <x:row r="9">
      <x:c r="A9" s="20" t="str">
        <x:v>VL-GI-GILL-150</x:v>
      </x:c>
      <x:c r="B9" s="20" t="str">
        <x:v>34ee4ecc-2710-5a32-91db-8252a5cfa3ee</x:v>
      </x:c>
      <x:c r="C9" s="20" t="str">
        <x:v>VoltageLevel</x:v>
      </x:c>
      <x:c r="D9" s="20" t="str">
        <x:v>GI_Gill 150 kV</x:v>
      </x:c>
      <x:c r="E9" s="20" t="str">
        <x:v>GI_GILL</x:v>
      </x:c>
      <x:c r="F9" s="20" t="n">
        <x:v>150</x:v>
      </x:c>
      <x:c r="G9" s="20" t="str"/>
      <x:c r="H9" s="20" t="str">
        <x:v>SOURCE_NORMALIZED</x:v>
      </x:c>
      <x:c r="I9" s="34" t="n">
        <x:v>0.98</x:v>
      </x:c>
      <x:c r="J9" s="20" t="str">
        <x:v>DRAFT</x:v>
      </x:c>
      <x:c r="K9" s="20" t="str"/>
      <x:c r="L9" s="20" t="str">
        <x:v>Single canonical voltage level replacing equipment-specific source VoltageLevel records.</x:v>
      </x:c>
    </x:row>
    <x:row r="10">
      <x:c r="A10" s="20" t="str">
        <x:v>CN-GI-GILL-150-BUS</x:v>
      </x:c>
      <x:c r="B10" s="20" t="str">
        <x:v>66da45bd-323d-56ab-9197-d04e8e3139cc</x:v>
      </x:c>
      <x:c r="C10" s="20" t="str">
        <x:v>ConnectivityNode</x:v>
      </x:c>
      <x:c r="D10" s="20" t="str">
        <x:v>GI_Gill main bus connectivity node</x:v>
      </x:c>
      <x:c r="E10" s="20" t="str">
        <x:v>GI_GILL</x:v>
      </x:c>
      <x:c r="F10" s="20" t="n">
        <x:v>150</x:v>
      </x:c>
      <x:c r="G10" s="20" t="str"/>
      <x:c r="H10" s="20" t="str">
        <x:v>SOURCE_NORMALIZED</x:v>
      </x:c>
      <x:c r="I10" s="34" t="n">
        <x:v>0.99</x:v>
      </x:c>
      <x:c r="J10" s="20" t="str">
        <x:v>DRAFT</x:v>
      </x:c>
      <x:c r="K10" s="20" t="str"/>
      <x:c r="L10" s="20" t="str">
        <x:v>Connectivity node GI_Gill main bus connectivity node.</x:v>
      </x:c>
    </x:row>
    <x:row r="11">
      <x:c r="A11" s="20" t="str">
        <x:v>GI-GILL-150-BUS-MAIN</x:v>
      </x:c>
      <x:c r="B11" s="20" t="str">
        <x:v>073f7500-949b-5801-80b3-2732b1e629a2</x:v>
      </x:c>
      <x:c r="C11" s="20" t="str">
        <x:v>BusbarSection</x:v>
      </x:c>
      <x:c r="D11" s="20" t="str">
        <x:v>BUSBAR GI_GILL 150 kV</x:v>
      </x:c>
      <x:c r="E11" s="20" t="str">
        <x:v>GI_GILL</x:v>
      </x:c>
      <x:c r="F11" s="20" t="n">
        <x:v>150</x:v>
      </x:c>
      <x:c r="G11" s="20" t="str">
        <x:v>BUS</x:v>
      </x:c>
      <x:c r="H11" s="20" t="str">
        <x:v>SOURCE_NORMALIZED</x:v>
      </x:c>
      <x:c r="I11" s="34" t="n">
        <x:v>0.99</x:v>
      </x:c>
      <x:c r="J11" s="20" t="str">
        <x:v>DRAFT</x:v>
      </x:c>
      <x:c r="K11" s="20" t="str">
        <x:v>460b6e83-6e01-413f-aa70-6280bee4104a</x:v>
      </x:c>
      <x:c r="L11" s="20" t="str">
        <x:v>Canonical main busbar normalized from Busbar_Gill.</x:v>
      </x:c>
    </x:row>
    <x:row r="12">
      <x:c r="A12" s="20" t="str">
        <x:v>BUSBAR-GI-GILL-MAIN-T1</x:v>
      </x:c>
      <x:c r="B12" s="20" t="str">
        <x:v>43dd4ab8-008f-5511-84ae-ff3638c85c1c</x:v>
      </x:c>
      <x:c r="C12" s="20" t="str">
        <x:v>Terminal</x:v>
      </x:c>
      <x:c r="D12" s="20" t="str">
        <x:v>1</x:v>
      </x:c>
      <x:c r="E12" s="20" t="str">
        <x:v>GI_GILL</x:v>
      </x:c>
      <x:c r="F12" s="20" t="str"/>
      <x:c r="G12" s="20" t="str"/>
      <x:c r="H12" s="20" t="str">
        <x:v>SOURCE_NORMALIZED</x:v>
      </x:c>
      <x:c r="I12" s="34" t="n">
        <x:v>0.99</x:v>
      </x:c>
      <x:c r="J12" s="20" t="str">
        <x:v>DRAFT</x:v>
      </x:c>
      <x:c r="K12" s="20" t="str"/>
      <x:c r="L12" s="20" t="str">
        <x:v>Terminal 1 of BUSBAR GI_GILL 150 kV</x:v>
      </x:c>
    </x:row>
    <x:row r="13">
      <x:c r="A13" s="20" t="str">
        <x:v>GI-GILL-150-BAY-GEN_GILL</x:v>
      </x:c>
      <x:c r="B13" s="20" t="str">
        <x:v>f1338a97-c3e0-567b-a3a1-3806efe526cf</x:v>
      </x:c>
      <x:c r="C13" s="20" t="str">
        <x:v>Bay</x:v>
      </x:c>
      <x:c r="D13" s="20" t="str">
        <x:v>BAY GEN GILL</x:v>
      </x:c>
      <x:c r="E13" s="20" t="str">
        <x:v>GI_GILL</x:v>
      </x:c>
      <x:c r="F13" s="20" t="n">
        <x:v>150</x:v>
      </x:c>
      <x:c r="G13" s="20" t="str">
        <x:v>GEN_GILL</x:v>
      </x:c>
      <x:c r="H13" s="20" t="str">
        <x:v>SOURCE_DERIVED</x:v>
      </x:c>
      <x:c r="I13" s="34" t="n">
        <x:v>0.85</x:v>
      </x:c>
      <x:c r="J13" s="20" t="str">
        <x:v>DRAFT</x:v>
      </x:c>
      <x:c r="K13" s="20" t="str">
        <x:v>8fb0654a-7c2e-4b67-a157-734b68ef4eed</x:v>
      </x:c>
      <x:c r="L13" s="20" t="str">
        <x:v>Canonical single-bus bay for GEN GILL.</x:v>
      </x:c>
    </x:row>
    <x:row r="14">
      <x:c r="A14" s="20" t="str">
        <x:v>CN-GI-GILL-GEN_GILL-DS-CB</x:v>
      </x:c>
      <x:c r="B14" s="20" t="str">
        <x:v>eaaa3e58-6b41-5e9a-8f1a-5634043e076b</x:v>
      </x:c>
      <x:c r="C14" s="20" t="str">
        <x:v>ConnectivityNode</x:v>
      </x:c>
      <x:c r="D14" s="20" t="str">
        <x:v>GEN_GILL DS-to-CB node</x:v>
      </x:c>
      <x:c r="E14" s="20" t="str">
        <x:v>GI_GILL</x:v>
      </x:c>
      <x:c r="F14" s="20" t="n">
        <x:v>150</x:v>
      </x:c>
      <x:c r="G14" s="20" t="str">
        <x:v>GEN_GILL</x:v>
      </x:c>
      <x:c r="H14" s="20" t="str">
        <x:v>ASSUMED</x:v>
      </x:c>
      <x:c r="I14" s="34" t="n">
        <x:v>0.7</x:v>
      </x:c>
      <x:c r="J14" s="20" t="str">
        <x:v>DRAFT</x:v>
      </x:c>
      <x:c r="K14" s="20" t="str"/>
      <x:c r="L14" s="20" t="str">
        <x:v>Connectivity node GEN_GILL DS-to-CB node.</x:v>
      </x:c>
    </x:row>
    <x:row r="15">
      <x:c r="A15" s="20" t="str">
        <x:v>CN-GI-GILL-GEN_GILL-CB-DS</x:v>
      </x:c>
      <x:c r="B15" s="20" t="str">
        <x:v>ef8d88c3-27a1-581a-8392-d5444f64f7c3</x:v>
      </x:c>
      <x:c r="C15" s="20" t="str">
        <x:v>ConnectivityNode</x:v>
      </x:c>
      <x:c r="D15" s="20" t="str">
        <x:v>GEN_GILL CB-to-DS node</x:v>
      </x:c>
      <x:c r="E15" s="20" t="str">
        <x:v>GI_GILL</x:v>
      </x:c>
      <x:c r="F15" s="20" t="n">
        <x:v>150</x:v>
      </x:c>
      <x:c r="G15" s="20" t="str">
        <x:v>GEN_GILL</x:v>
      </x:c>
      <x:c r="H15" s="20" t="str">
        <x:v>ASSUMED</x:v>
      </x:c>
      <x:c r="I15" s="34" t="n">
        <x:v>0.7</x:v>
      </x:c>
      <x:c r="J15" s="20" t="str">
        <x:v>DRAFT</x:v>
      </x:c>
      <x:c r="K15" s="20" t="str"/>
      <x:c r="L15" s="20" t="str">
        <x:v>Connectivity node GEN_GILL CB-to-DS node.</x:v>
      </x:c>
    </x:row>
    <x:row r="16">
      <x:c r="A16" s="20" t="str">
        <x:v>CN-GI-GILL-GEN_GILL-EQ</x:v>
      </x:c>
      <x:c r="B16" s="20" t="str">
        <x:v>367af4e3-03f3-55a8-8532-71964764bcd0</x:v>
      </x:c>
      <x:c r="C16" s="20" t="str">
        <x:v>ConnectivityNode</x:v>
      </x:c>
      <x:c r="D16" s="20" t="str">
        <x:v>GEN_GILL equipment terminal node</x:v>
      </x:c>
      <x:c r="E16" s="20" t="str">
        <x:v>GI_GILL</x:v>
      </x:c>
      <x:c r="F16" s="20" t="n">
        <x:v>150</x:v>
      </x:c>
      <x:c r="G16" s="20" t="str">
        <x:v>GEN_GILL</x:v>
      </x:c>
      <x:c r="H16" s="20" t="str">
        <x:v>SOURCE_TOPOLOGY_EXPANDED</x:v>
      </x:c>
      <x:c r="I16" s="34" t="n">
        <x:v>0.8</x:v>
      </x:c>
      <x:c r="J16" s="20" t="str">
        <x:v>DRAFT</x:v>
      </x:c>
      <x:c r="K16" s="20" t="str"/>
      <x:c r="L16" s="20" t="str">
        <x:v>Connectivity node GEN_GILL equipment terminal node.</x:v>
      </x:c>
    </x:row>
    <x:row r="17">
      <x:c r="A17" s="20" t="str">
        <x:v>GI-GILL-150-GEN_GILL-DS-BUS</x:v>
      </x:c>
      <x:c r="B17" s="20" t="str">
        <x:v>fc105aec-e392-5b0c-8afb-bbc8a4b1e3b9</x:v>
      </x:c>
      <x:c r="C17" s="20" t="str">
        <x:v>Disconnector</x:v>
      </x:c>
      <x:c r="D17" s="20" t="str">
        <x:v>DS BUS GEN GILL</x:v>
      </x:c>
      <x:c r="E17" s="20" t="str">
        <x:v>GI_GILL</x:v>
      </x:c>
      <x:c r="F17" s="20" t="n">
        <x:v>150</x:v>
      </x:c>
      <x:c r="G17" s="20" t="str">
        <x:v>GEN_GILL</x:v>
      </x:c>
      <x:c r="H17" s="20" t="str">
        <x:v>ASSUMED</x:v>
      </x:c>
      <x:c r="I17" s="34" t="n">
        <x:v>0.7</x:v>
      </x:c>
      <x:c r="J17" s="20" t="str">
        <x:v>DRAFT</x:v>
      </x:c>
      <x:c r="K17" s="20" t="str"/>
      <x:c r="L17" s="20" t="str">
        <x:v>DS BUS GEN GILL in GEN_GILL bay.</x:v>
      </x:c>
    </x:row>
    <x:row r="18">
      <x:c r="A18" s="20" t="str">
        <x:v>DS-GI-GILL-GEN_GILL-BUS-T1</x:v>
      </x:c>
      <x:c r="B18" s="20" t="str">
        <x:v>a5d98c36-ac7f-5f91-aab2-1cb70649a92c</x:v>
      </x:c>
      <x:c r="C18" s="20" t="str">
        <x:v>Terminal</x:v>
      </x:c>
      <x:c r="D18" s="20" t="str">
        <x:v>1</x:v>
      </x:c>
      <x:c r="E18" s="20" t="str">
        <x:v>GI_GILL</x:v>
      </x:c>
      <x:c r="F18" s="20" t="str"/>
      <x:c r="G18" s="20" t="str"/>
      <x:c r="H18" s="20" t="str">
        <x:v>ASSUMED</x:v>
      </x:c>
      <x:c r="I18" s="34" t="n">
        <x:v>0.7</x:v>
      </x:c>
      <x:c r="J18" s="20" t="str">
        <x:v>DRAFT</x:v>
      </x:c>
      <x:c r="K18" s="20" t="str"/>
      <x:c r="L18" s="20" t="str">
        <x:v>Terminal 1 of DS BUS GEN GILL</x:v>
      </x:c>
    </x:row>
    <x:row r="19">
      <x:c r="A19" s="20" t="str">
        <x:v>DS-GI-GILL-GEN_GILL-BUS-T2</x:v>
      </x:c>
      <x:c r="B19" s="20" t="str">
        <x:v>578452d5-996c-519b-9124-48974079fc3a</x:v>
      </x:c>
      <x:c r="C19" s="20" t="str">
        <x:v>Terminal</x:v>
      </x:c>
      <x:c r="D19" s="20" t="str">
        <x:v>2</x:v>
      </x:c>
      <x:c r="E19" s="20" t="str">
        <x:v>GI_GILL</x:v>
      </x:c>
      <x:c r="F19" s="20" t="str"/>
      <x:c r="G19" s="20" t="str"/>
      <x:c r="H19" s="20" t="str">
        <x:v>ASSUMED</x:v>
      </x:c>
      <x:c r="I19" s="34" t="n">
        <x:v>0.7</x:v>
      </x:c>
      <x:c r="J19" s="20" t="str">
        <x:v>DRAFT</x:v>
      </x:c>
      <x:c r="K19" s="20" t="str"/>
      <x:c r="L19" s="20" t="str">
        <x:v>Terminal 2 of DS BUS GEN GILL</x:v>
      </x:c>
    </x:row>
    <x:row r="20">
      <x:c r="A20" s="20" t="str">
        <x:v>GI-GILL-150-GEN_GILL-CB</x:v>
      </x:c>
      <x:c r="B20" s="20" t="str">
        <x:v>574e75da-d59f-58da-8486-2a4b05361e0c</x:v>
      </x:c>
      <x:c r="C20" s="20" t="str">
        <x:v>Breaker</x:v>
      </x:c>
      <x:c r="D20" s="20" t="str">
        <x:v>CB GEN GILL</x:v>
      </x:c>
      <x:c r="E20" s="20" t="str">
        <x:v>GI_GILL</x:v>
      </x:c>
      <x:c r="F20" s="20" t="n">
        <x:v>150</x:v>
      </x:c>
      <x:c r="G20" s="20" t="str">
        <x:v>GEN_GILL</x:v>
      </x:c>
      <x:c r="H20" s="20" t="str">
        <x:v>ASSUMED</x:v>
      </x:c>
      <x:c r="I20" s="34" t="n">
        <x:v>0.72</x:v>
      </x:c>
      <x:c r="J20" s="20" t="str">
        <x:v>DRAFT</x:v>
      </x:c>
      <x:c r="K20" s="20" t="str"/>
      <x:c r="L20" s="20" t="str">
        <x:v>CB GEN GILL in GEN_GILL bay.</x:v>
      </x:c>
    </x:row>
    <x:row r="21">
      <x:c r="A21" s="20" t="str">
        <x:v>CB-GI-GILL-GEN_GILL-T1</x:v>
      </x:c>
      <x:c r="B21" s="20" t="str">
        <x:v>f333a60a-654d-55e9-a2f7-d8afe6234d3a</x:v>
      </x:c>
      <x:c r="C21" s="20" t="str">
        <x:v>Terminal</x:v>
      </x:c>
      <x:c r="D21" s="20" t="str">
        <x:v>1</x:v>
      </x:c>
      <x:c r="E21" s="20" t="str">
        <x:v>GI_GILL</x:v>
      </x:c>
      <x:c r="F21" s="20" t="str"/>
      <x:c r="G21" s="20" t="str"/>
      <x:c r="H21" s="20" t="str">
        <x:v>ASSUMED</x:v>
      </x:c>
      <x:c r="I21" s="34" t="n">
        <x:v>0.72</x:v>
      </x:c>
      <x:c r="J21" s="20" t="str">
        <x:v>DRAFT</x:v>
      </x:c>
      <x:c r="K21" s="20" t="str"/>
      <x:c r="L21" s="20" t="str">
        <x:v>Terminal 1 of CB GEN GILL</x:v>
      </x:c>
    </x:row>
    <x:row r="22">
      <x:c r="A22" s="20" t="str">
        <x:v>CB-GI-GILL-GEN_GILL-T2</x:v>
      </x:c>
      <x:c r="B22" s="20" t="str">
        <x:v>5e0433fc-5e79-528c-b888-17874b282a2f</x:v>
      </x:c>
      <x:c r="C22" s="20" t="str">
        <x:v>Terminal</x:v>
      </x:c>
      <x:c r="D22" s="20" t="str">
        <x:v>2</x:v>
      </x:c>
      <x:c r="E22" s="20" t="str">
        <x:v>GI_GILL</x:v>
      </x:c>
      <x:c r="F22" s="20" t="str"/>
      <x:c r="G22" s="20" t="str"/>
      <x:c r="H22" s="20" t="str">
        <x:v>ASSUMED</x:v>
      </x:c>
      <x:c r="I22" s="34" t="n">
        <x:v>0.72</x:v>
      </x:c>
      <x:c r="J22" s="20" t="str">
        <x:v>DRAFT</x:v>
      </x:c>
      <x:c r="K22" s="20" t="str"/>
      <x:c r="L22" s="20" t="str">
        <x:v>Terminal 2 of CB GEN GILL</x:v>
      </x:c>
    </x:row>
    <x:row r="23">
      <x:c r="A23" s="20" t="str">
        <x:v>GI-GILL-150-GEN_GILL-DS-EQ</x:v>
      </x:c>
      <x:c r="B23" s="20" t="str">
        <x:v>4e5e95d6-8ff8-5840-824f-bf7af055b95d</x:v>
      </x:c>
      <x:c r="C23" s="20" t="str">
        <x:v>Disconnector</x:v>
      </x:c>
      <x:c r="D23" s="20" t="str">
        <x:v>DS EQUIPMENT GEN GILL</x:v>
      </x:c>
      <x:c r="E23" s="20" t="str">
        <x:v>GI_GILL</x:v>
      </x:c>
      <x:c r="F23" s="20" t="n">
        <x:v>150</x:v>
      </x:c>
      <x:c r="G23" s="20" t="str">
        <x:v>GEN_GILL</x:v>
      </x:c>
      <x:c r="H23" s="20" t="str">
        <x:v>SOURCE_RECAST</x:v>
      </x:c>
      <x:c r="I23" s="34" t="n">
        <x:v>0.68</x:v>
      </x:c>
      <x:c r="J23" s="20" t="str">
        <x:v>DRAFT</x:v>
      </x:c>
      <x:c r="K23" s="20" t="str">
        <x:v>06ff0283-2b7d-4299-a349-3c172fcfa6d6</x:v>
      </x:c>
      <x:c r="L23" s="20" t="str">
        <x:v>DS EQUIPMENT GEN GILL in GEN_GILL bay.</x:v>
      </x:c>
    </x:row>
    <x:row r="24">
      <x:c r="A24" s="20" t="str">
        <x:v>DS-GI-GILL-GEN_GILL-EQ-T1</x:v>
      </x:c>
      <x:c r="B24" s="20" t="str">
        <x:v>89dbe9cd-08ad-543b-9d6c-a7c83d7eac59</x:v>
      </x:c>
      <x:c r="C24" s="20" t="str">
        <x:v>Terminal</x:v>
      </x:c>
      <x:c r="D24" s="20" t="str">
        <x:v>1</x:v>
      </x:c>
      <x:c r="E24" s="20" t="str">
        <x:v>GI_GILL</x:v>
      </x:c>
      <x:c r="F24" s="20" t="str"/>
      <x:c r="G24" s="20" t="str"/>
      <x:c r="H24" s="20" t="str">
        <x:v>SOURCE_RECAST</x:v>
      </x:c>
      <x:c r="I24" s="34" t="n">
        <x:v>0.68</x:v>
      </x:c>
      <x:c r="J24" s="20" t="str">
        <x:v>DRAFT</x:v>
      </x:c>
      <x:c r="K24" s="20" t="str"/>
      <x:c r="L24" s="20" t="str">
        <x:v>Terminal 1 of DS EQUIPMENT GEN GILL</x:v>
      </x:c>
    </x:row>
    <x:row r="25">
      <x:c r="A25" s="20" t="str">
        <x:v>DS-GI-GILL-GEN_GILL-EQ-T2</x:v>
      </x:c>
      <x:c r="B25" s="20" t="str">
        <x:v>e9795dc0-dba4-504c-b7c8-93c168c063e1</x:v>
      </x:c>
      <x:c r="C25" s="20" t="str">
        <x:v>Terminal</x:v>
      </x:c>
      <x:c r="D25" s="20" t="str">
        <x:v>2</x:v>
      </x:c>
      <x:c r="E25" s="20" t="str">
        <x:v>GI_GILL</x:v>
      </x:c>
      <x:c r="F25" s="20" t="str"/>
      <x:c r="G25" s="20" t="str"/>
      <x:c r="H25" s="20" t="str">
        <x:v>SOURCE_RECAST</x:v>
      </x:c>
      <x:c r="I25" s="34" t="n">
        <x:v>0.68</x:v>
      </x:c>
      <x:c r="J25" s="20" t="str">
        <x:v>DRAFT</x:v>
      </x:c>
      <x:c r="K25" s="20" t="str"/>
      <x:c r="L25" s="20" t="str">
        <x:v>Terminal 2 of DS EQUIPMENT GEN GILL</x:v>
      </x:c>
    </x:row>
    <x:row r="26">
      <x:c r="A26" s="20" t="str">
        <x:v>GI-GILL-150-GEN_GILL</x:v>
      </x:c>
      <x:c r="B26" s="20" t="str">
        <x:v>da09c581-86b0-5e3b-8f68-43d5b2d8e127</x:v>
      </x:c>
      <x:c r="C26" s="20" t="str">
        <x:v>SynchronousMachine</x:v>
      </x:c>
      <x:c r="D26" s="20" t="str">
        <x:v>GEN GILL</x:v>
      </x:c>
      <x:c r="E26" s="20" t="str">
        <x:v>GI_GILL</x:v>
      </x:c>
      <x:c r="F26" s="20" t="n">
        <x:v>150</x:v>
      </x:c>
      <x:c r="G26" s="20" t="str">
        <x:v>GEN_GILL</x:v>
      </x:c>
      <x:c r="H26" s="20" t="str">
        <x:v>SOURCE_NORMALIZED</x:v>
      </x:c>
      <x:c r="I26" s="34" t="n">
        <x:v>0.9</x:v>
      </x:c>
      <x:c r="J26" s="20" t="str">
        <x:v>DRAFT</x:v>
      </x:c>
      <x:c r="K26" s="20" t="str">
        <x:v>8fb0654a-7c2e-4b67-a157-734b68ef4eed</x:v>
      </x:c>
      <x:c r="L26" s="20" t="str">
        <x:v>Canonical SynchronousMachine for GEN GILL. Source generator ratings are retained.</x:v>
      </x:c>
    </x:row>
    <x:row r="27">
      <x:c r="A27" s="20" t="str">
        <x:v>PRIMARY-GI-GILL-GEN_GILL-T1</x:v>
      </x:c>
      <x:c r="B27" s="20" t="str">
        <x:v>1f9b780c-97c2-54bb-8267-86076110feec</x:v>
      </x:c>
      <x:c r="C27" s="20" t="str">
        <x:v>Terminal</x:v>
      </x:c>
      <x:c r="D27" s="20" t="str">
        <x:v>1</x:v>
      </x:c>
      <x:c r="E27" s="20" t="str">
        <x:v>GI_GILL</x:v>
      </x:c>
      <x:c r="F27" s="20" t="str"/>
      <x:c r="G27" s="20" t="str"/>
      <x:c r="H27" s="20" t="str">
        <x:v>SOURCE_TOPOLOGY_EXPANDED</x:v>
      </x:c>
      <x:c r="I27" s="34" t="n">
        <x:v>0.85</x:v>
      </x:c>
      <x:c r="J27" s="20" t="str">
        <x:v>DRAFT</x:v>
      </x:c>
      <x:c r="K27" s="20" t="str"/>
      <x:c r="L27" s="20" t="str">
        <x:v>Terminal 1 of GEN GILL</x:v>
      </x:c>
    </x:row>
    <x:row r="28">
      <x:c r="A28" s="20" t="str">
        <x:v>GI-GILL-150-BAY-TRF_GILL</x:v>
      </x:c>
      <x:c r="B28" s="20" t="str">
        <x:v>92f88430-60d2-5eb3-b4ca-f7183c94551b</x:v>
      </x:c>
      <x:c r="C28" s="20" t="str">
        <x:v>Bay</x:v>
      </x:c>
      <x:c r="D28" s="20" t="str">
        <x:v>BAY TRAFO GILL</x:v>
      </x:c>
      <x:c r="E28" s="20" t="str">
        <x:v>GI_GILL</x:v>
      </x:c>
      <x:c r="F28" s="20" t="n">
        <x:v>150</x:v>
      </x:c>
      <x:c r="G28" s="20" t="str">
        <x:v>TRF_GILL</x:v>
      </x:c>
      <x:c r="H28" s="20" t="str">
        <x:v>SOURCE_DERIVED</x:v>
      </x:c>
      <x:c r="I28" s="34" t="n">
        <x:v>0.85</x:v>
      </x:c>
      <x:c r="J28" s="20" t="str">
        <x:v>DRAFT</x:v>
      </x:c>
      <x:c r="K28" s="20" t="str">
        <x:v>03243776-08fc-40f5-a180-c8179bccf17a</x:v>
      </x:c>
      <x:c r="L28" s="20" t="str">
        <x:v>Canonical single-bus bay for TRAFO GILL.</x:v>
      </x:c>
    </x:row>
    <x:row r="29">
      <x:c r="A29" s="20" t="str">
        <x:v>CN-GI-GILL-TRF_GILL-DS-CB</x:v>
      </x:c>
      <x:c r="B29" s="20" t="str">
        <x:v>6c6e2bb0-ef7e-5ac0-8a89-47bd592946bd</x:v>
      </x:c>
      <x:c r="C29" s="20" t="str">
        <x:v>ConnectivityNode</x:v>
      </x:c>
      <x:c r="D29" s="20" t="str">
        <x:v>TRF_GILL DS-to-CB node</x:v>
      </x:c>
      <x:c r="E29" s="20" t="str">
        <x:v>GI_GILL</x:v>
      </x:c>
      <x:c r="F29" s="20" t="n">
        <x:v>150</x:v>
      </x:c>
      <x:c r="G29" s="20" t="str">
        <x:v>TRF_GILL</x:v>
      </x:c>
      <x:c r="H29" s="20" t="str">
        <x:v>ASSUMED</x:v>
      </x:c>
      <x:c r="I29" s="34" t="n">
        <x:v>0.7</x:v>
      </x:c>
      <x:c r="J29" s="20" t="str">
        <x:v>DRAFT</x:v>
      </x:c>
      <x:c r="K29" s="20" t="str"/>
      <x:c r="L29" s="20" t="str">
        <x:v>Connectivity node TRF_GILL DS-to-CB node.</x:v>
      </x:c>
    </x:row>
    <x:row r="30">
      <x:c r="A30" s="20" t="str">
        <x:v>CN-GI-GILL-TRF_GILL-CB-DS</x:v>
      </x:c>
      <x:c r="B30" s="20" t="str">
        <x:v>81b7d461-e261-5148-a099-132af0c0cffc</x:v>
      </x:c>
      <x:c r="C30" s="20" t="str">
        <x:v>ConnectivityNode</x:v>
      </x:c>
      <x:c r="D30" s="20" t="str">
        <x:v>TRF_GILL CB-to-DS node</x:v>
      </x:c>
      <x:c r="E30" s="20" t="str">
        <x:v>GI_GILL</x:v>
      </x:c>
      <x:c r="F30" s="20" t="n">
        <x:v>150</x:v>
      </x:c>
      <x:c r="G30" s="20" t="str">
        <x:v>TRF_GILL</x:v>
      </x:c>
      <x:c r="H30" s="20" t="str">
        <x:v>ASSUMED</x:v>
      </x:c>
      <x:c r="I30" s="34" t="n">
        <x:v>0.7</x:v>
      </x:c>
      <x:c r="J30" s="20" t="str">
        <x:v>DRAFT</x:v>
      </x:c>
      <x:c r="K30" s="20" t="str"/>
      <x:c r="L30" s="20" t="str">
        <x:v>Connectivity node TRF_GILL CB-to-DS node.</x:v>
      </x:c>
    </x:row>
    <x:row r="31">
      <x:c r="A31" s="20" t="str">
        <x:v>CN-GI-GILL-TRF_GILL-EQ</x:v>
      </x:c>
      <x:c r="B31" s="20" t="str">
        <x:v>cdafe6d9-b5c2-5d77-b1a7-32a743397edd</x:v>
      </x:c>
      <x:c r="C31" s="20" t="str">
        <x:v>ConnectivityNode</x:v>
      </x:c>
      <x:c r="D31" s="20" t="str">
        <x:v>TRF_GILL equipment terminal node</x:v>
      </x:c>
      <x:c r="E31" s="20" t="str">
        <x:v>GI_GILL</x:v>
      </x:c>
      <x:c r="F31" s="20" t="n">
        <x:v>150</x:v>
      </x:c>
      <x:c r="G31" s="20" t="str">
        <x:v>TRF_GILL</x:v>
      </x:c>
      <x:c r="H31" s="20" t="str">
        <x:v>SOURCE_TOPOLOGY_EXPANDED</x:v>
      </x:c>
      <x:c r="I31" s="34" t="n">
        <x:v>0.8</x:v>
      </x:c>
      <x:c r="J31" s="20" t="str">
        <x:v>DRAFT</x:v>
      </x:c>
      <x:c r="K31" s="20" t="str"/>
      <x:c r="L31" s="20" t="str">
        <x:v>Connectivity node TRF_GILL equipment terminal node.</x:v>
      </x:c>
    </x:row>
    <x:row r="32">
      <x:c r="A32" s="20" t="str">
        <x:v>GI-GILL-150-TRF_GILL-DS-BUS</x:v>
      </x:c>
      <x:c r="B32" s="20" t="str">
        <x:v>c2c90805-7e60-5861-bdbf-85e9a28c00c6</x:v>
      </x:c>
      <x:c r="C32" s="20" t="str">
        <x:v>Disconnector</x:v>
      </x:c>
      <x:c r="D32" s="20" t="str">
        <x:v>DS BUS TRAFO GILL</x:v>
      </x:c>
      <x:c r="E32" s="20" t="str">
        <x:v>GI_GILL</x:v>
      </x:c>
      <x:c r="F32" s="20" t="n">
        <x:v>150</x:v>
      </x:c>
      <x:c r="G32" s="20" t="str">
        <x:v>TRF_GILL</x:v>
      </x:c>
      <x:c r="H32" s="20" t="str">
        <x:v>ASSUMED</x:v>
      </x:c>
      <x:c r="I32" s="34" t="n">
        <x:v>0.7</x:v>
      </x:c>
      <x:c r="J32" s="20" t="str">
        <x:v>DRAFT</x:v>
      </x:c>
      <x:c r="K32" s="20" t="str"/>
      <x:c r="L32" s="20" t="str">
        <x:v>DS BUS TRAFO GILL in TRF_GILL bay.</x:v>
      </x:c>
    </x:row>
    <x:row r="33">
      <x:c r="A33" s="20" t="str">
        <x:v>DS-GI-GILL-TRF_GILL-BUS-T1</x:v>
      </x:c>
      <x:c r="B33" s="20" t="str">
        <x:v>a6bd5eea-f3a7-57eb-beb4-1f88db20d143</x:v>
      </x:c>
      <x:c r="C33" s="20" t="str">
        <x:v>Terminal</x:v>
      </x:c>
      <x:c r="D33" s="20" t="str">
        <x:v>1</x:v>
      </x:c>
      <x:c r="E33" s="20" t="str">
        <x:v>GI_GILL</x:v>
      </x:c>
      <x:c r="F33" s="20" t="str"/>
      <x:c r="G33" s="20" t="str"/>
      <x:c r="H33" s="20" t="str">
        <x:v>ASSUMED</x:v>
      </x:c>
      <x:c r="I33" s="34" t="n">
        <x:v>0.7</x:v>
      </x:c>
      <x:c r="J33" s="20" t="str">
        <x:v>DRAFT</x:v>
      </x:c>
      <x:c r="K33" s="20" t="str"/>
      <x:c r="L33" s="20" t="str">
        <x:v>Terminal 1 of DS BUS TRAFO GILL</x:v>
      </x:c>
    </x:row>
    <x:row r="34">
      <x:c r="A34" s="20" t="str">
        <x:v>DS-GI-GILL-TRF_GILL-BUS-T2</x:v>
      </x:c>
      <x:c r="B34" s="20" t="str">
        <x:v>3a0b1d60-c11e-5c73-ae74-1f9e31263501</x:v>
      </x:c>
      <x:c r="C34" s="20" t="str">
        <x:v>Terminal</x:v>
      </x:c>
      <x:c r="D34" s="20" t="str">
        <x:v>2</x:v>
      </x:c>
      <x:c r="E34" s="20" t="str">
        <x:v>GI_GILL</x:v>
      </x:c>
      <x:c r="F34" s="20" t="str"/>
      <x:c r="G34" s="20" t="str"/>
      <x:c r="H34" s="20" t="str">
        <x:v>ASSUMED</x:v>
      </x:c>
      <x:c r="I34" s="34" t="n">
        <x:v>0.7</x:v>
      </x:c>
      <x:c r="J34" s="20" t="str">
        <x:v>DRAFT</x:v>
      </x:c>
      <x:c r="K34" s="20" t="str"/>
      <x:c r="L34" s="20" t="str">
        <x:v>Terminal 2 of DS BUS TRAFO GILL</x:v>
      </x:c>
    </x:row>
    <x:row r="35">
      <x:c r="A35" s="20" t="str">
        <x:v>GI-GILL-150-TRF_GILL-CB</x:v>
      </x:c>
      <x:c r="B35" s="20" t="str">
        <x:v>4d2d465e-20b0-5dd9-81f7-fa9a70095334</x:v>
      </x:c>
      <x:c r="C35" s="20" t="str">
        <x:v>Breaker</x:v>
      </x:c>
      <x:c r="D35" s="20" t="str">
        <x:v>CB TRAFO GILL</x:v>
      </x:c>
      <x:c r="E35" s="20" t="str">
        <x:v>GI_GILL</x:v>
      </x:c>
      <x:c r="F35" s="20" t="n">
        <x:v>150</x:v>
      </x:c>
      <x:c r="G35" s="20" t="str">
        <x:v>TRF_GILL</x:v>
      </x:c>
      <x:c r="H35" s="20" t="str">
        <x:v>ASSUMED</x:v>
      </x:c>
      <x:c r="I35" s="34" t="n">
        <x:v>0.72</x:v>
      </x:c>
      <x:c r="J35" s="20" t="str">
        <x:v>DRAFT</x:v>
      </x:c>
      <x:c r="K35" s="20" t="str"/>
      <x:c r="L35" s="20" t="str">
        <x:v>CB TRAFO GILL in TRF_GILL bay.</x:v>
      </x:c>
    </x:row>
    <x:row r="36">
      <x:c r="A36" s="20" t="str">
        <x:v>CB-GI-GILL-TRF_GILL-T1</x:v>
      </x:c>
      <x:c r="B36" s="20" t="str">
        <x:v>a916d2d8-11e2-52be-81ea-54544452aaf9</x:v>
      </x:c>
      <x:c r="C36" s="20" t="str">
        <x:v>Terminal</x:v>
      </x:c>
      <x:c r="D36" s="20" t="str">
        <x:v>1</x:v>
      </x:c>
      <x:c r="E36" s="20" t="str">
        <x:v>GI_GILL</x:v>
      </x:c>
      <x:c r="F36" s="20" t="str"/>
      <x:c r="G36" s="20" t="str"/>
      <x:c r="H36" s="20" t="str">
        <x:v>ASSUMED</x:v>
      </x:c>
      <x:c r="I36" s="34" t="n">
        <x:v>0.72</x:v>
      </x:c>
      <x:c r="J36" s="20" t="str">
        <x:v>DRAFT</x:v>
      </x:c>
      <x:c r="K36" s="20" t="str"/>
      <x:c r="L36" s="20" t="str">
        <x:v>Terminal 1 of CB TRAFO GILL</x:v>
      </x:c>
    </x:row>
    <x:row r="37">
      <x:c r="A37" s="20" t="str">
        <x:v>CB-GI-GILL-TRF_GILL-T2</x:v>
      </x:c>
      <x:c r="B37" s="20" t="str">
        <x:v>71fc56ae-547e-5073-85f3-1f6dc42182df</x:v>
      </x:c>
      <x:c r="C37" s="20" t="str">
        <x:v>Terminal</x:v>
      </x:c>
      <x:c r="D37" s="20" t="str">
        <x:v>2</x:v>
      </x:c>
      <x:c r="E37" s="20" t="str">
        <x:v>GI_GILL</x:v>
      </x:c>
      <x:c r="F37" s="20" t="str"/>
      <x:c r="G37" s="20" t="str"/>
      <x:c r="H37" s="20" t="str">
        <x:v>ASSUMED</x:v>
      </x:c>
      <x:c r="I37" s="34" t="n">
        <x:v>0.72</x:v>
      </x:c>
      <x:c r="J37" s="20" t="str">
        <x:v>DRAFT</x:v>
      </x:c>
      <x:c r="K37" s="20" t="str"/>
      <x:c r="L37" s="20" t="str">
        <x:v>Terminal 2 of CB TRAFO GILL</x:v>
      </x:c>
    </x:row>
    <x:row r="38">
      <x:c r="A38" s="20" t="str">
        <x:v>GI-GILL-150-TRF_GILL-DS-EQ</x:v>
      </x:c>
      <x:c r="B38" s="20" t="str">
        <x:v>649f007c-6adf-56e9-ae5c-574b86037319</x:v>
      </x:c>
      <x:c r="C38" s="20" t="str">
        <x:v>Disconnector</x:v>
      </x:c>
      <x:c r="D38" s="20" t="str">
        <x:v>DS EQUIPMENT TRAFO GILL</x:v>
      </x:c>
      <x:c r="E38" s="20" t="str">
        <x:v>GI_GILL</x:v>
      </x:c>
      <x:c r="F38" s="20" t="n">
        <x:v>150</x:v>
      </x:c>
      <x:c r="G38" s="20" t="str">
        <x:v>TRF_GILL</x:v>
      </x:c>
      <x:c r="H38" s="20" t="str">
        <x:v>ASSUMED</x:v>
      </x:c>
      <x:c r="I38" s="34" t="n">
        <x:v>0.7</x:v>
      </x:c>
      <x:c r="J38" s="20" t="str">
        <x:v>DRAFT</x:v>
      </x:c>
      <x:c r="K38" s="20" t="str"/>
      <x:c r="L38" s="20" t="str">
        <x:v>DS EQUIPMENT TRAFO GILL in TRF_GILL bay.</x:v>
      </x:c>
    </x:row>
    <x:row r="39">
      <x:c r="A39" s="20" t="str">
        <x:v>DS-GI-GILL-TRF_GILL-EQ-T1</x:v>
      </x:c>
      <x:c r="B39" s="20" t="str">
        <x:v>3b944bca-9e6f-5abd-a299-724cefeedd88</x:v>
      </x:c>
      <x:c r="C39" s="20" t="str">
        <x:v>Terminal</x:v>
      </x:c>
      <x:c r="D39" s="20" t="str">
        <x:v>1</x:v>
      </x:c>
      <x:c r="E39" s="20" t="str">
        <x:v>GI_GILL</x:v>
      </x:c>
      <x:c r="F39" s="20" t="str"/>
      <x:c r="G39" s="20" t="str"/>
      <x:c r="H39" s="20" t="str">
        <x:v>ASSUMED</x:v>
      </x:c>
      <x:c r="I39" s="34" t="n">
        <x:v>0.7</x:v>
      </x:c>
      <x:c r="J39" s="20" t="str">
        <x:v>DRAFT</x:v>
      </x:c>
      <x:c r="K39" s="20" t="str"/>
      <x:c r="L39" s="20" t="str">
        <x:v>Terminal 1 of DS EQUIPMENT TRAFO GILL</x:v>
      </x:c>
    </x:row>
    <x:row r="40">
      <x:c r="A40" s="20" t="str">
        <x:v>DS-GI-GILL-TRF_GILL-EQ-T2</x:v>
      </x:c>
      <x:c r="B40" s="20" t="str">
        <x:v>05026f23-7031-5d50-a6bd-e1569ec9b246</x:v>
      </x:c>
      <x:c r="C40" s="20" t="str">
        <x:v>Terminal</x:v>
      </x:c>
      <x:c r="D40" s="20" t="str">
        <x:v>2</x:v>
      </x:c>
      <x:c r="E40" s="20" t="str">
        <x:v>GI_GILL</x:v>
      </x:c>
      <x:c r="F40" s="20" t="str"/>
      <x:c r="G40" s="20" t="str"/>
      <x:c r="H40" s="20" t="str">
        <x:v>ASSUMED</x:v>
      </x:c>
      <x:c r="I40" s="34" t="n">
        <x:v>0.7</x:v>
      </x:c>
      <x:c r="J40" s="20" t="str">
        <x:v>DRAFT</x:v>
      </x:c>
      <x:c r="K40" s="20" t="str"/>
      <x:c r="L40" s="20" t="str">
        <x:v>Terminal 2 of DS EQUIPMENT TRAFO GILL</x:v>
      </x:c>
    </x:row>
    <x:row r="41">
      <x:c r="A41" s="20" t="str">
        <x:v>GI-GILL-150-TRF_GILL</x:v>
      </x:c>
      <x:c r="B41" s="20" t="str">
        <x:v>c66dbab6-b371-5e16-b5ae-d56f6dbfa643</x:v>
      </x:c>
      <x:c r="C41" s="20" t="str">
        <x:v>PowerTransformer</x:v>
      </x:c>
      <x:c r="D41" s="20" t="str">
        <x:v>TRAFO GILL</x:v>
      </x:c>
      <x:c r="E41" s="20" t="str">
        <x:v>GI_GILL</x:v>
      </x:c>
      <x:c r="F41" s="20" t="n">
        <x:v>150</x:v>
      </x:c>
      <x:c r="G41" s="20" t="str">
        <x:v>TRF_GILL</x:v>
      </x:c>
      <x:c r="H41" s="20" t="str">
        <x:v>SOURCE_NORMALIZED</x:v>
      </x:c>
      <x:c r="I41" s="34" t="n">
        <x:v>0.9</x:v>
      </x:c>
      <x:c r="J41" s="20" t="str">
        <x:v>DRAFT</x:v>
      </x:c>
      <x:c r="K41" s="20" t="str">
        <x:v>03243776-08fc-40f5-a180-c8179bccf17a</x:v>
      </x:c>
      <x:c r="L41" s="20" t="str">
        <x:v>Canonical PowerTransformer for TRAFO GILL. Source transformer-end data are retained; voltage-ratio inconsistency is flagged.</x:v>
      </x:c>
    </x:row>
    <x:row r="42">
      <x:c r="A42" s="20" t="str">
        <x:v>CN-GI-GILL-TRF_GILL-END2</x:v>
      </x:c>
      <x:c r="B42" s="20" t="str">
        <x:v>8f767792-387a-57a7-aa84-dda5bbea86fe</x:v>
      </x:c>
      <x:c r="C42" s="20" t="str">
        <x:v>ConnectivityNode</x:v>
      </x:c>
      <x:c r="D42" s="20" t="str">
        <x:v>TRF_GILL transformer end-2 boundary node</x:v>
      </x:c>
      <x:c r="E42" s="20" t="str">
        <x:v>GI_GILL</x:v>
      </x:c>
      <x:c r="F42" s="20" t="n">
        <x:v>150</x:v>
      </x:c>
      <x:c r="G42" s="20" t="str">
        <x:v>TRF_GILL</x:v>
      </x:c>
      <x:c r="H42" s="20" t="str">
        <x:v>SOURCE_NORMALIZED</x:v>
      </x:c>
      <x:c r="I42" s="34" t="n">
        <x:v>0.7</x:v>
      </x:c>
      <x:c r="J42" s="20" t="str">
        <x:v>DRAFT</x:v>
      </x:c>
      <x:c r="K42" s="20" t="str"/>
      <x:c r="L42" s="20" t="str">
        <x:v>Connectivity node TRF_GILL transformer end-2 boundary node.</x:v>
      </x:c>
    </x:row>
    <x:row r="43">
      <x:c r="A43" s="20" t="str">
        <x:v>PRIMARY-GI-GILL-TRF_GILL-T1</x:v>
      </x:c>
      <x:c r="B43" s="20" t="str">
        <x:v>2cf9e77a-ce1c-5181-8d44-7759a63d51ad</x:v>
      </x:c>
      <x:c r="C43" s="20" t="str">
        <x:v>Terminal</x:v>
      </x:c>
      <x:c r="D43" s="20" t="str">
        <x:v>1</x:v>
      </x:c>
      <x:c r="E43" s="20" t="str">
        <x:v>GI_GILL</x:v>
      </x:c>
      <x:c r="F43" s="20" t="str"/>
      <x:c r="G43" s="20" t="str"/>
      <x:c r="H43" s="20" t="str">
        <x:v>SOURCE_TOPOLOGY_EXPANDED</x:v>
      </x:c>
      <x:c r="I43" s="34" t="n">
        <x:v>0.85</x:v>
      </x:c>
      <x:c r="J43" s="20" t="str">
        <x:v>DRAFT</x:v>
      </x:c>
      <x:c r="K43" s="20" t="str"/>
      <x:c r="L43" s="20" t="str">
        <x:v>Terminal 1 of TRAFO GILL</x:v>
      </x:c>
    </x:row>
    <x:row r="44">
      <x:c r="A44" s="20" t="str">
        <x:v>PRIMARY-GI-GILL-TRF_GILL-T2</x:v>
      </x:c>
      <x:c r="B44" s="20" t="str">
        <x:v>f4953d14-ddde-57eb-a6f8-239aeccb5302</x:v>
      </x:c>
      <x:c r="C44" s="20" t="str">
        <x:v>Terminal</x:v>
      </x:c>
      <x:c r="D44" s="20" t="str">
        <x:v>2</x:v>
      </x:c>
      <x:c r="E44" s="20" t="str">
        <x:v>GI_GILL</x:v>
      </x:c>
      <x:c r="F44" s="20" t="str"/>
      <x:c r="G44" s="20" t="str"/>
      <x:c r="H44" s="20" t="str">
        <x:v>SOURCE_NORMALIZED</x:v>
      </x:c>
      <x:c r="I44" s="34" t="n">
        <x:v>0.8</x:v>
      </x:c>
      <x:c r="J44" s="20" t="str">
        <x:v>DRAFT</x:v>
      </x:c>
      <x:c r="K44" s="20" t="str"/>
      <x:c r="L44" s="20" t="str">
        <x:v>Terminal 2 of TRAFO GILL</x:v>
      </x:c>
    </x:row>
    <x:row r="45">
      <x:c r="A45" s="20" t="str">
        <x:v>GI-GILL-TRF_GILL-END-1</x:v>
      </x:c>
      <x:c r="B45" s="20" t="str">
        <x:v>51d07e54-b15c-55e4-b2cb-d8dad8be77fa</x:v>
      </x:c>
      <x:c r="C45" s="20" t="str">
        <x:v>PowerTransformerEnd</x:v>
      </x:c>
      <x:c r="D45" s="20" t="str">
        <x:v>TRAFO GILL END 1</x:v>
      </x:c>
      <x:c r="E45" s="20" t="str">
        <x:v>GI_GILL</x:v>
      </x:c>
      <x:c r="F45" s="20" t="n">
        <x:v>150</x:v>
      </x:c>
      <x:c r="G45" s="20" t="str">
        <x:v>TRF_GILL</x:v>
      </x:c>
      <x:c r="H45" s="20" t="str">
        <x:v>SOURCE_NORMALIZED</x:v>
      </x:c>
      <x:c r="I45" s="34" t="n">
        <x:v>0.9</x:v>
      </x:c>
      <x:c r="J45" s="20" t="str">
        <x:v>DRAFT</x:v>
      </x:c>
      <x:c r="K45" s="20" t="str">
        <x:v>77724378-2811-4fbb-93f4-f50c3320af53</x:v>
      </x:c>
      <x:c r="L45" s="20" t="str">
        <x:v>Transformer end 1 retained from source sample.</x:v>
      </x:c>
    </x:row>
    <x:row r="46">
      <x:c r="A46" s="20" t="str">
        <x:v>GI-GILL-TRF_GILL-END-2</x:v>
      </x:c>
      <x:c r="B46" s="20" t="str">
        <x:v>98e44915-2738-5886-8dcd-bffca209ec60</x:v>
      </x:c>
      <x:c r="C46" s="20" t="str">
        <x:v>PowerTransformerEnd</x:v>
      </x:c>
      <x:c r="D46" s="20" t="str">
        <x:v>TRAFO GILL END 2</x:v>
      </x:c>
      <x:c r="E46" s="20" t="str">
        <x:v>GI_GILL</x:v>
      </x:c>
      <x:c r="F46" s="20" t="n">
        <x:v>150</x:v>
      </x:c>
      <x:c r="G46" s="20" t="str">
        <x:v>TRF_GILL</x:v>
      </x:c>
      <x:c r="H46" s="20" t="str">
        <x:v>SOURCE_NORMALIZED</x:v>
      </x:c>
      <x:c r="I46" s="34" t="n">
        <x:v>0.9</x:v>
      </x:c>
      <x:c r="J46" s="20" t="str">
        <x:v>DRAFT</x:v>
      </x:c>
      <x:c r="K46" s="20" t="str">
        <x:v>8c4683cc-e989-4d46-b3a2-6ac132bba87b</x:v>
      </x:c>
      <x:c r="L46" s="20" t="str">
        <x:v>Transformer end 2 retained from source sample.</x:v>
      </x:c>
    </x:row>
    <x:row r="47">
      <x:c r="A47" s="20" t="str">
        <x:v>GI-GILL-150-BAY-LINE_GILL</x:v>
      </x:c>
      <x:c r="B47" s="20" t="str">
        <x:v>960b98ae-3d89-5861-915f-b18cf5aa67a9</x:v>
      </x:c>
      <x:c r="C47" s="20" t="str">
        <x:v>Bay</x:v>
      </x:c>
      <x:c r="D47" s="20" t="str">
        <x:v>BAY LINE GILL</x:v>
      </x:c>
      <x:c r="E47" s="20" t="str">
        <x:v>GI_GILL</x:v>
      </x:c>
      <x:c r="F47" s="20" t="n">
        <x:v>150</x:v>
      </x:c>
      <x:c r="G47" s="20" t="str">
        <x:v>LINE_GILL</x:v>
      </x:c>
      <x:c r="H47" s="20" t="str">
        <x:v>SOURCE_DERIVED</x:v>
      </x:c>
      <x:c r="I47" s="34" t="n">
        <x:v>0.85</x:v>
      </x:c>
      <x:c r="J47" s="20" t="str">
        <x:v>DRAFT</x:v>
      </x:c>
      <x:c r="K47" s="20" t="str">
        <x:v>54e16534-67d2-4dfd-91f3-d2f2e85058a2</x:v>
      </x:c>
      <x:c r="L47" s="20" t="str">
        <x:v>Canonical single-bus bay for LINE GILL.</x:v>
      </x:c>
    </x:row>
    <x:row r="48">
      <x:c r="A48" s="20" t="str">
        <x:v>CN-GI-GILL-LINE_GILL-DS-CB</x:v>
      </x:c>
      <x:c r="B48" s="20" t="str">
        <x:v>d77c5b0c-3341-5d32-9bc5-044c2a888b92</x:v>
      </x:c>
      <x:c r="C48" s="20" t="str">
        <x:v>ConnectivityNode</x:v>
      </x:c>
      <x:c r="D48" s="20" t="str">
        <x:v>LINE_GILL DS-to-CB node</x:v>
      </x:c>
      <x:c r="E48" s="20" t="str">
        <x:v>GI_GILL</x:v>
      </x:c>
      <x:c r="F48" s="20" t="n">
        <x:v>150</x:v>
      </x:c>
      <x:c r="G48" s="20" t="str">
        <x:v>LINE_GILL</x:v>
      </x:c>
      <x:c r="H48" s="20" t="str">
        <x:v>ASSUMED</x:v>
      </x:c>
      <x:c r="I48" s="34" t="n">
        <x:v>0.7</x:v>
      </x:c>
      <x:c r="J48" s="20" t="str">
        <x:v>DRAFT</x:v>
      </x:c>
      <x:c r="K48" s="20" t="str"/>
      <x:c r="L48" s="20" t="str">
        <x:v>Connectivity node LINE_GILL DS-to-CB node.</x:v>
      </x:c>
    </x:row>
    <x:row r="49">
      <x:c r="A49" s="20" t="str">
        <x:v>CN-GI-GILL-LINE_GILL-CB-DS</x:v>
      </x:c>
      <x:c r="B49" s="20" t="str">
        <x:v>efa34944-ca55-5bc7-87f8-e40b07a3fa2b</x:v>
      </x:c>
      <x:c r="C49" s="20" t="str">
        <x:v>ConnectivityNode</x:v>
      </x:c>
      <x:c r="D49" s="20" t="str">
        <x:v>LINE_GILL CB-to-DS node</x:v>
      </x:c>
      <x:c r="E49" s="20" t="str">
        <x:v>GI_GILL</x:v>
      </x:c>
      <x:c r="F49" s="20" t="n">
        <x:v>150</x:v>
      </x:c>
      <x:c r="G49" s="20" t="str">
        <x:v>LINE_GILL</x:v>
      </x:c>
      <x:c r="H49" s="20" t="str">
        <x:v>ASSUMED</x:v>
      </x:c>
      <x:c r="I49" s="34" t="n">
        <x:v>0.7</x:v>
      </x:c>
      <x:c r="J49" s="20" t="str">
        <x:v>DRAFT</x:v>
      </x:c>
      <x:c r="K49" s="20" t="str"/>
      <x:c r="L49" s="20" t="str">
        <x:v>Connectivity node LINE_GILL CB-to-DS node.</x:v>
      </x:c>
    </x:row>
    <x:row r="50">
      <x:c r="A50" s="20" t="str">
        <x:v>CN-GI-GILL-LINE_GILL-EQ</x:v>
      </x:c>
      <x:c r="B50" s="20" t="str">
        <x:v>00a23877-efe9-563f-a0d0-77369ccc316f</x:v>
      </x:c>
      <x:c r="C50" s="20" t="str">
        <x:v>ConnectivityNode</x:v>
      </x:c>
      <x:c r="D50" s="20" t="str">
        <x:v>LINE_GILL equipment terminal node</x:v>
      </x:c>
      <x:c r="E50" s="20" t="str">
        <x:v>GI_GILL</x:v>
      </x:c>
      <x:c r="F50" s="20" t="n">
        <x:v>150</x:v>
      </x:c>
      <x:c r="G50" s="20" t="str">
        <x:v>LINE_GILL</x:v>
      </x:c>
      <x:c r="H50" s="20" t="str">
        <x:v>SOURCE_TOPOLOGY_EXPANDED</x:v>
      </x:c>
      <x:c r="I50" s="34" t="n">
        <x:v>0.8</x:v>
      </x:c>
      <x:c r="J50" s="20" t="str">
        <x:v>DRAFT</x:v>
      </x:c>
      <x:c r="K50" s="20" t="str"/>
      <x:c r="L50" s="20" t="str">
        <x:v>Connectivity node LINE_GILL equipment terminal node.</x:v>
      </x:c>
    </x:row>
    <x:row r="51">
      <x:c r="A51" s="20" t="str">
        <x:v>GI-GILL-150-LINE_GILL-DS-BUS</x:v>
      </x:c>
      <x:c r="B51" s="20" t="str">
        <x:v>f1660596-32f0-570c-9cd4-60fb1b5ba5d0</x:v>
      </x:c>
      <x:c r="C51" s="20" t="str">
        <x:v>Disconnector</x:v>
      </x:c>
      <x:c r="D51" s="20" t="str">
        <x:v>DS BUS LINE GILL</x:v>
      </x:c>
      <x:c r="E51" s="20" t="str">
        <x:v>GI_GILL</x:v>
      </x:c>
      <x:c r="F51" s="20" t="n">
        <x:v>150</x:v>
      </x:c>
      <x:c r="G51" s="20" t="str">
        <x:v>LINE_GILL</x:v>
      </x:c>
      <x:c r="H51" s="20" t="str">
        <x:v>ASSUMED</x:v>
      </x:c>
      <x:c r="I51" s="34" t="n">
        <x:v>0.7</x:v>
      </x:c>
      <x:c r="J51" s="20" t="str">
        <x:v>DRAFT</x:v>
      </x:c>
      <x:c r="K51" s="20" t="str"/>
      <x:c r="L51" s="20" t="str">
        <x:v>DS BUS LINE GILL in LINE_GILL bay.</x:v>
      </x:c>
    </x:row>
    <x:row r="52">
      <x:c r="A52" s="20" t="str">
        <x:v>DS-GI-GILL-LINE_GILL-BUS-T1</x:v>
      </x:c>
      <x:c r="B52" s="20" t="str">
        <x:v>1581affb-54e5-509d-a848-1fd33936e20a</x:v>
      </x:c>
      <x:c r="C52" s="20" t="str">
        <x:v>Terminal</x:v>
      </x:c>
      <x:c r="D52" s="20" t="str">
        <x:v>1</x:v>
      </x:c>
      <x:c r="E52" s="20" t="str">
        <x:v>GI_GILL</x:v>
      </x:c>
      <x:c r="F52" s="20" t="str"/>
      <x:c r="G52" s="20" t="str"/>
      <x:c r="H52" s="20" t="str">
        <x:v>ASSUMED</x:v>
      </x:c>
      <x:c r="I52" s="34" t="n">
        <x:v>0.7</x:v>
      </x:c>
      <x:c r="J52" s="20" t="str">
        <x:v>DRAFT</x:v>
      </x:c>
      <x:c r="K52" s="20" t="str"/>
      <x:c r="L52" s="20" t="str">
        <x:v>Terminal 1 of DS BUS LINE GILL</x:v>
      </x:c>
    </x:row>
    <x:row r="53">
      <x:c r="A53" s="20" t="str">
        <x:v>DS-GI-GILL-LINE_GILL-BUS-T2</x:v>
      </x:c>
      <x:c r="B53" s="20" t="str">
        <x:v>935b9aaa-e621-5f78-8d08-e9db5f5cd24d</x:v>
      </x:c>
      <x:c r="C53" s="20" t="str">
        <x:v>Terminal</x:v>
      </x:c>
      <x:c r="D53" s="20" t="str">
        <x:v>2</x:v>
      </x:c>
      <x:c r="E53" s="20" t="str">
        <x:v>GI_GILL</x:v>
      </x:c>
      <x:c r="F53" s="20" t="str"/>
      <x:c r="G53" s="20" t="str"/>
      <x:c r="H53" s="20" t="str">
        <x:v>ASSUMED</x:v>
      </x:c>
      <x:c r="I53" s="34" t="n">
        <x:v>0.7</x:v>
      </x:c>
      <x:c r="J53" s="20" t="str">
        <x:v>DRAFT</x:v>
      </x:c>
      <x:c r="K53" s="20" t="str"/>
      <x:c r="L53" s="20" t="str">
        <x:v>Terminal 2 of DS BUS LINE GILL</x:v>
      </x:c>
    </x:row>
    <x:row r="54">
      <x:c r="A54" s="20" t="str">
        <x:v>GI-GILL-150-LINE_GILL-CB</x:v>
      </x:c>
      <x:c r="B54" s="20" t="str">
        <x:v>d608c080-04a1-56aa-9dd8-b50089abaa52</x:v>
      </x:c>
      <x:c r="C54" s="20" t="str">
        <x:v>Breaker</x:v>
      </x:c>
      <x:c r="D54" s="20" t="str">
        <x:v>CB LINE GILL</x:v>
      </x:c>
      <x:c r="E54" s="20" t="str">
        <x:v>GI_GILL</x:v>
      </x:c>
      <x:c r="F54" s="20" t="n">
        <x:v>150</x:v>
      </x:c>
      <x:c r="G54" s="20" t="str">
        <x:v>LINE_GILL</x:v>
      </x:c>
      <x:c r="H54" s="20" t="str">
        <x:v>ASSUMED</x:v>
      </x:c>
      <x:c r="I54" s="34" t="n">
        <x:v>0.72</x:v>
      </x:c>
      <x:c r="J54" s="20" t="str">
        <x:v>DRAFT</x:v>
      </x:c>
      <x:c r="K54" s="20" t="str"/>
      <x:c r="L54" s="20" t="str">
        <x:v>CB LINE GILL in LINE_GILL bay.</x:v>
      </x:c>
    </x:row>
    <x:row r="55">
      <x:c r="A55" s="20" t="str">
        <x:v>CB-GI-GILL-LINE_GILL-T1</x:v>
      </x:c>
      <x:c r="B55" s="20" t="str">
        <x:v>44c0ba56-257a-5b03-8d7d-33979342b67f</x:v>
      </x:c>
      <x:c r="C55" s="20" t="str">
        <x:v>Terminal</x:v>
      </x:c>
      <x:c r="D55" s="20" t="str">
        <x:v>1</x:v>
      </x:c>
      <x:c r="E55" s="20" t="str">
        <x:v>GI_GILL</x:v>
      </x:c>
      <x:c r="F55" s="20" t="str"/>
      <x:c r="G55" s="20" t="str"/>
      <x:c r="H55" s="20" t="str">
        <x:v>ASSUMED</x:v>
      </x:c>
      <x:c r="I55" s="34" t="n">
        <x:v>0.72</x:v>
      </x:c>
      <x:c r="J55" s="20" t="str">
        <x:v>DRAFT</x:v>
      </x:c>
      <x:c r="K55" s="20" t="str"/>
      <x:c r="L55" s="20" t="str">
        <x:v>Terminal 1 of CB LINE GILL</x:v>
      </x:c>
    </x:row>
    <x:row r="56">
      <x:c r="A56" s="20" t="str">
        <x:v>CB-GI-GILL-LINE_GILL-T2</x:v>
      </x:c>
      <x:c r="B56" s="20" t="str">
        <x:v>12f4871e-db26-5720-9d46-8e4b020fee83</x:v>
      </x:c>
      <x:c r="C56" s="20" t="str">
        <x:v>Terminal</x:v>
      </x:c>
      <x:c r="D56" s="20" t="str">
        <x:v>2</x:v>
      </x:c>
      <x:c r="E56" s="20" t="str">
        <x:v>GI_GILL</x:v>
      </x:c>
      <x:c r="F56" s="20" t="str"/>
      <x:c r="G56" s="20" t="str"/>
      <x:c r="H56" s="20" t="str">
        <x:v>ASSUMED</x:v>
      </x:c>
      <x:c r="I56" s="34" t="n">
        <x:v>0.72</x:v>
      </x:c>
      <x:c r="J56" s="20" t="str">
        <x:v>DRAFT</x:v>
      </x:c>
      <x:c r="K56" s="20" t="str"/>
      <x:c r="L56" s="20" t="str">
        <x:v>Terminal 2 of CB LINE GILL</x:v>
      </x:c>
    </x:row>
    <x:row r="57">
      <x:c r="A57" s="20" t="str">
        <x:v>GI-GILL-150-LINE_GILL-DS-EQ</x:v>
      </x:c>
      <x:c r="B57" s="20" t="str">
        <x:v>7b5232e5-0731-5e47-9b41-926745ce52dc</x:v>
      </x:c>
      <x:c r="C57" s="20" t="str">
        <x:v>Disconnector</x:v>
      </x:c>
      <x:c r="D57" s="20" t="str">
        <x:v>DS EQUIPMENT LINE GILL</x:v>
      </x:c>
      <x:c r="E57" s="20" t="str">
        <x:v>GI_GILL</x:v>
      </x:c>
      <x:c r="F57" s="20" t="n">
        <x:v>150</x:v>
      </x:c>
      <x:c r="G57" s="20" t="str">
        <x:v>LINE_GILL</x:v>
      </x:c>
      <x:c r="H57" s="20" t="str">
        <x:v>ASSUMED</x:v>
      </x:c>
      <x:c r="I57" s="34" t="n">
        <x:v>0.7</x:v>
      </x:c>
      <x:c r="J57" s="20" t="str">
        <x:v>DRAFT</x:v>
      </x:c>
      <x:c r="K57" s="20" t="str"/>
      <x:c r="L57" s="20" t="str">
        <x:v>DS EQUIPMENT LINE GILL in LINE_GILL bay.</x:v>
      </x:c>
    </x:row>
    <x:row r="58">
      <x:c r="A58" s="20" t="str">
        <x:v>DS-GI-GILL-LINE_GILL-EQ-T1</x:v>
      </x:c>
      <x:c r="B58" s="20" t="str">
        <x:v>3ddb04ab-ae6a-536a-b3b1-1cf589faa50e</x:v>
      </x:c>
      <x:c r="C58" s="20" t="str">
        <x:v>Terminal</x:v>
      </x:c>
      <x:c r="D58" s="20" t="str">
        <x:v>1</x:v>
      </x:c>
      <x:c r="E58" s="20" t="str">
        <x:v>GI_GILL</x:v>
      </x:c>
      <x:c r="F58" s="20" t="str"/>
      <x:c r="G58" s="20" t="str"/>
      <x:c r="H58" s="20" t="str">
        <x:v>ASSUMED</x:v>
      </x:c>
      <x:c r="I58" s="34" t="n">
        <x:v>0.7</x:v>
      </x:c>
      <x:c r="J58" s="20" t="str">
        <x:v>DRAFT</x:v>
      </x:c>
      <x:c r="K58" s="20" t="str"/>
      <x:c r="L58" s="20" t="str">
        <x:v>Terminal 1 of DS EQUIPMENT LINE GILL</x:v>
      </x:c>
    </x:row>
    <x:row r="59">
      <x:c r="A59" s="20" t="str">
        <x:v>DS-GI-GILL-LINE_GILL-EQ-T2</x:v>
      </x:c>
      <x:c r="B59" s="20" t="str">
        <x:v>294949e5-d722-5d6d-804f-a7bf90ac619a</x:v>
      </x:c>
      <x:c r="C59" s="20" t="str">
        <x:v>Terminal</x:v>
      </x:c>
      <x:c r="D59" s="20" t="str">
        <x:v>2</x:v>
      </x:c>
      <x:c r="E59" s="20" t="str">
        <x:v>GI_GILL</x:v>
      </x:c>
      <x:c r="F59" s="20" t="str"/>
      <x:c r="G59" s="20" t="str"/>
      <x:c r="H59" s="20" t="str">
        <x:v>ASSUMED</x:v>
      </x:c>
      <x:c r="I59" s="34" t="n">
        <x:v>0.7</x:v>
      </x:c>
      <x:c r="J59" s="20" t="str">
        <x:v>DRAFT</x:v>
      </x:c>
      <x:c r="K59" s="20" t="str"/>
      <x:c r="L59" s="20" t="str">
        <x:v>Terminal 2 of DS EQUIPMENT LINE GILL</x:v>
      </x:c>
    </x:row>
    <x:row r="60">
      <x:c r="A60" s="20" t="str">
        <x:v>GI-GILL-150-LINE_GILL</x:v>
      </x:c>
      <x:c r="B60" s="20" t="str">
        <x:v>0cf87624-7a3c-56c6-9a84-e22c73c4da15</x:v>
      </x:c>
      <x:c r="C60" s="20" t="str">
        <x:v>ACLineSegment</x:v>
      </x:c>
      <x:c r="D60" s="20" t="str">
        <x:v>LINE GILL</x:v>
      </x:c>
      <x:c r="E60" s="20" t="str">
        <x:v>GI_GILL</x:v>
      </x:c>
      <x:c r="F60" s="20" t="n">
        <x:v>150</x:v>
      </x:c>
      <x:c r="G60" s="20" t="str">
        <x:v>LINE_GILL</x:v>
      </x:c>
      <x:c r="H60" s="20" t="str">
        <x:v>SOURCE_NORMALIZED</x:v>
      </x:c>
      <x:c r="I60" s="34" t="n">
        <x:v>0.9</x:v>
      </x:c>
      <x:c r="J60" s="20" t="str">
        <x:v>DRAFT</x:v>
      </x:c>
      <x:c r="K60" s="20" t="str">
        <x:v>54e16534-67d2-4dfd-91f3-d2f2e85058a2</x:v>
      </x:c>
      <x:c r="L60" s="20" t="str">
        <x:v>Canonical ACLineSegment for LINE GILL. Source line r/x/b/g and length are retained as sample values.</x:v>
      </x:c>
    </x:row>
    <x:row r="61">
      <x:c r="A61" s="20" t="str">
        <x:v>CN-GI-GILL-LINE_GILL-BOUNDARY</x:v>
      </x:c>
      <x:c r="B61" s="20" t="str">
        <x:v>3772b4c2-2008-52e1-b8d0-74af6ac846f2</x:v>
      </x:c>
      <x:c r="C61" s="20" t="str">
        <x:v>ConnectivityNode</x:v>
      </x:c>
      <x:c r="D61" s="20" t="str">
        <x:v>LINE_GILL remote boundary node</x:v>
      </x:c>
      <x:c r="E61" s="20" t="str">
        <x:v>GI_GILL</x:v>
      </x:c>
      <x:c r="F61" s="20" t="n">
        <x:v>150</x:v>
      </x:c>
      <x:c r="G61" s="20" t="str">
        <x:v>LINE_GILL</x:v>
      </x:c>
      <x:c r="H61" s="20" t="str">
        <x:v>SOURCE_NORMALIZED</x:v>
      </x:c>
      <x:c r="I61" s="34" t="n">
        <x:v>0.9</x:v>
      </x:c>
      <x:c r="J61" s="20" t="str">
        <x:v>DRAFT</x:v>
      </x:c>
      <x:c r="K61" s="20" t="str"/>
      <x:c r="L61" s="20" t="str">
        <x:v>Connectivity node LINE_GILL remote boundary node.</x:v>
      </x:c>
    </x:row>
    <x:row r="62">
      <x:c r="A62" s="20" t="str">
        <x:v>PRIMARY-GI-GILL-LINE_GILL-T1</x:v>
      </x:c>
      <x:c r="B62" s="20" t="str">
        <x:v>b08d41b8-40ce-59c4-8825-bd24bc1f72bf</x:v>
      </x:c>
      <x:c r="C62" s="20" t="str">
        <x:v>Terminal</x:v>
      </x:c>
      <x:c r="D62" s="20" t="str">
        <x:v>1</x:v>
      </x:c>
      <x:c r="E62" s="20" t="str">
        <x:v>GI_GILL</x:v>
      </x:c>
      <x:c r="F62" s="20" t="str"/>
      <x:c r="G62" s="20" t="str"/>
      <x:c r="H62" s="20" t="str">
        <x:v>SOURCE_TOPOLOGY_EXPANDED</x:v>
      </x:c>
      <x:c r="I62" s="34" t="n">
        <x:v>0.85</x:v>
      </x:c>
      <x:c r="J62" s="20" t="str">
        <x:v>DRAFT</x:v>
      </x:c>
      <x:c r="K62" s="20" t="str"/>
      <x:c r="L62" s="20" t="str">
        <x:v>Terminal 1 of LINE GILL</x:v>
      </x:c>
    </x:row>
    <x:row r="63">
      <x:c r="A63" s="20" t="str">
        <x:v>PRIMARY-GI-GILL-LINE_GILL-T2</x:v>
      </x:c>
      <x:c r="B63" s="20" t="str">
        <x:v>da9189f7-d906-511d-9fc7-45788b580274</x:v>
      </x:c>
      <x:c r="C63" s="20" t="str">
        <x:v>Terminal</x:v>
      </x:c>
      <x:c r="D63" s="20" t="str">
        <x:v>2</x:v>
      </x:c>
      <x:c r="E63" s="20" t="str">
        <x:v>GI_GILL</x:v>
      </x:c>
      <x:c r="F63" s="20" t="str"/>
      <x:c r="G63" s="20" t="str"/>
      <x:c r="H63" s="20" t="str">
        <x:v>SOURCE_NORMALIZED</x:v>
      </x:c>
      <x:c r="I63" s="34" t="n">
        <x:v>0.9</x:v>
      </x:c>
      <x:c r="J63" s="20" t="str">
        <x:v>DRAFT</x:v>
      </x:c>
      <x:c r="K63" s="20" t="str"/>
      <x:c r="L63" s="20" t="str">
        <x:v>Terminal 2 of LINE GILL</x:v>
      </x:c>
    </x:row>
    <x:row r="64">
      <x:c r="A64" s="20" t="str">
        <x:v>GI-GILL-150-BAY-LOAD_GILL</x:v>
      </x:c>
      <x:c r="B64" s="20" t="str">
        <x:v>2fbca7ee-54bf-580a-8080-22a55aa3d1f9</x:v>
      </x:c>
      <x:c r="C64" s="20" t="str">
        <x:v>Bay</x:v>
      </x:c>
      <x:c r="D64" s="20" t="str">
        <x:v>BAY LOAD GILL</x:v>
      </x:c>
      <x:c r="E64" s="20" t="str">
        <x:v>GI_GILL</x:v>
      </x:c>
      <x:c r="F64" s="20" t="n">
        <x:v>150</x:v>
      </x:c>
      <x:c r="G64" s="20" t="str">
        <x:v>LOAD_GILL</x:v>
      </x:c>
      <x:c r="H64" s="20" t="str">
        <x:v>SOURCE_DERIVED</x:v>
      </x:c>
      <x:c r="I64" s="34" t="n">
        <x:v>0.85</x:v>
      </x:c>
      <x:c r="J64" s="20" t="str">
        <x:v>DRAFT</x:v>
      </x:c>
      <x:c r="K64" s="20" t="str">
        <x:v>5307dd06-d00b-4521-95d0-a456c852d7cc</x:v>
      </x:c>
      <x:c r="L64" s="20" t="str">
        <x:v>Canonical single-bus bay for LOAD GILL.</x:v>
      </x:c>
    </x:row>
    <x:row r="65">
      <x:c r="A65" s="20" t="str">
        <x:v>CN-GI-GILL-LOAD_GILL-DS-CB</x:v>
      </x:c>
      <x:c r="B65" s="20" t="str">
        <x:v>a8aaf8a6-4267-51f0-9d15-9c137f756751</x:v>
      </x:c>
      <x:c r="C65" s="20" t="str">
        <x:v>ConnectivityNode</x:v>
      </x:c>
      <x:c r="D65" s="20" t="str">
        <x:v>LOAD_GILL DS-to-CB node</x:v>
      </x:c>
      <x:c r="E65" s="20" t="str">
        <x:v>GI_GILL</x:v>
      </x:c>
      <x:c r="F65" s="20" t="n">
        <x:v>150</x:v>
      </x:c>
      <x:c r="G65" s="20" t="str">
        <x:v>LOAD_GILL</x:v>
      </x:c>
      <x:c r="H65" s="20" t="str">
        <x:v>ASSUMED</x:v>
      </x:c>
      <x:c r="I65" s="34" t="n">
        <x:v>0.7</x:v>
      </x:c>
      <x:c r="J65" s="20" t="str">
        <x:v>DRAFT</x:v>
      </x:c>
      <x:c r="K65" s="20" t="str"/>
      <x:c r="L65" s="20" t="str">
        <x:v>Connectivity node LOAD_GILL DS-to-CB node.</x:v>
      </x:c>
    </x:row>
    <x:row r="66">
      <x:c r="A66" s="20" t="str">
        <x:v>CN-GI-GILL-LOAD_GILL-CB-DS</x:v>
      </x:c>
      <x:c r="B66" s="20" t="str">
        <x:v>f9cd6ba3-76c7-5bf7-832e-441cec7e2651</x:v>
      </x:c>
      <x:c r="C66" s="20" t="str">
        <x:v>ConnectivityNode</x:v>
      </x:c>
      <x:c r="D66" s="20" t="str">
        <x:v>LOAD_GILL CB-to-DS node</x:v>
      </x:c>
      <x:c r="E66" s="20" t="str">
        <x:v>GI_GILL</x:v>
      </x:c>
      <x:c r="F66" s="20" t="n">
        <x:v>150</x:v>
      </x:c>
      <x:c r="G66" s="20" t="str">
        <x:v>LOAD_GILL</x:v>
      </x:c>
      <x:c r="H66" s="20" t="str">
        <x:v>ASSUMED</x:v>
      </x:c>
      <x:c r="I66" s="34" t="n">
        <x:v>0.7</x:v>
      </x:c>
      <x:c r="J66" s="20" t="str">
        <x:v>DRAFT</x:v>
      </x:c>
      <x:c r="K66" s="20" t="str"/>
      <x:c r="L66" s="20" t="str">
        <x:v>Connectivity node LOAD_GILL CB-to-DS node.</x:v>
      </x:c>
    </x:row>
    <x:row r="67">
      <x:c r="A67" s="20" t="str">
        <x:v>CN-GI-GILL-LOAD_GILL-EQ</x:v>
      </x:c>
      <x:c r="B67" s="20" t="str">
        <x:v>7559ef89-41be-5454-bc01-a5bc0fe2b209</x:v>
      </x:c>
      <x:c r="C67" s="20" t="str">
        <x:v>ConnectivityNode</x:v>
      </x:c>
      <x:c r="D67" s="20" t="str">
        <x:v>LOAD_GILL equipment terminal node</x:v>
      </x:c>
      <x:c r="E67" s="20" t="str">
        <x:v>GI_GILL</x:v>
      </x:c>
      <x:c r="F67" s="20" t="n">
        <x:v>150</x:v>
      </x:c>
      <x:c r="G67" s="20" t="str">
        <x:v>LOAD_GILL</x:v>
      </x:c>
      <x:c r="H67" s="20" t="str">
        <x:v>SOURCE_TOPOLOGY_EXPANDED</x:v>
      </x:c>
      <x:c r="I67" s="34" t="n">
        <x:v>0.8</x:v>
      </x:c>
      <x:c r="J67" s="20" t="str">
        <x:v>DRAFT</x:v>
      </x:c>
      <x:c r="K67" s="20" t="str"/>
      <x:c r="L67" s="20" t="str">
        <x:v>Connectivity node LOAD_GILL equipment terminal node.</x:v>
      </x:c>
    </x:row>
    <x:row r="68">
      <x:c r="A68" s="20" t="str">
        <x:v>GI-GILL-150-LOAD_GILL-DS-BUS</x:v>
      </x:c>
      <x:c r="B68" s="20" t="str">
        <x:v>13911620-0b1b-5920-9a63-479f1f9c072a</x:v>
      </x:c>
      <x:c r="C68" s="20" t="str">
        <x:v>Disconnector</x:v>
      </x:c>
      <x:c r="D68" s="20" t="str">
        <x:v>DS BUS LOAD GILL</x:v>
      </x:c>
      <x:c r="E68" s="20" t="str">
        <x:v>GI_GILL</x:v>
      </x:c>
      <x:c r="F68" s="20" t="n">
        <x:v>150</x:v>
      </x:c>
      <x:c r="G68" s="20" t="str">
        <x:v>LOAD_GILL</x:v>
      </x:c>
      <x:c r="H68" s="20" t="str">
        <x:v>ASSUMED</x:v>
      </x:c>
      <x:c r="I68" s="34" t="n">
        <x:v>0.7</x:v>
      </x:c>
      <x:c r="J68" s="20" t="str">
        <x:v>DRAFT</x:v>
      </x:c>
      <x:c r="K68" s="20" t="str"/>
      <x:c r="L68" s="20" t="str">
        <x:v>DS BUS LOAD GILL in LOAD_GILL bay.</x:v>
      </x:c>
    </x:row>
    <x:row r="69">
      <x:c r="A69" s="20" t="str">
        <x:v>DS-GI-GILL-LOAD_GILL-BUS-T1</x:v>
      </x:c>
      <x:c r="B69" s="20" t="str">
        <x:v>1f1d6747-4875-55c6-a238-cffb7733730a</x:v>
      </x:c>
      <x:c r="C69" s="20" t="str">
        <x:v>Terminal</x:v>
      </x:c>
      <x:c r="D69" s="20" t="str">
        <x:v>1</x:v>
      </x:c>
      <x:c r="E69" s="20" t="str">
        <x:v>GI_GILL</x:v>
      </x:c>
      <x:c r="F69" s="20" t="str"/>
      <x:c r="G69" s="20" t="str"/>
      <x:c r="H69" s="20" t="str">
        <x:v>ASSUMED</x:v>
      </x:c>
      <x:c r="I69" s="34" t="n">
        <x:v>0.7</x:v>
      </x:c>
      <x:c r="J69" s="20" t="str">
        <x:v>DRAFT</x:v>
      </x:c>
      <x:c r="K69" s="20" t="str"/>
      <x:c r="L69" s="20" t="str">
        <x:v>Terminal 1 of DS BUS LOAD GILL</x:v>
      </x:c>
    </x:row>
    <x:row r="70">
      <x:c r="A70" s="20" t="str">
        <x:v>DS-GI-GILL-LOAD_GILL-BUS-T2</x:v>
      </x:c>
      <x:c r="B70" s="20" t="str">
        <x:v>9ff5ba88-d233-5e7d-b676-49ee0f5ce0c8</x:v>
      </x:c>
      <x:c r="C70" s="20" t="str">
        <x:v>Terminal</x:v>
      </x:c>
      <x:c r="D70" s="20" t="str">
        <x:v>2</x:v>
      </x:c>
      <x:c r="E70" s="20" t="str">
        <x:v>GI_GILL</x:v>
      </x:c>
      <x:c r="F70" s="20" t="str"/>
      <x:c r="G70" s="20" t="str"/>
      <x:c r="H70" s="20" t="str">
        <x:v>ASSUMED</x:v>
      </x:c>
      <x:c r="I70" s="34" t="n">
        <x:v>0.7</x:v>
      </x:c>
      <x:c r="J70" s="20" t="str">
        <x:v>DRAFT</x:v>
      </x:c>
      <x:c r="K70" s="20" t="str"/>
      <x:c r="L70" s="20" t="str">
        <x:v>Terminal 2 of DS BUS LOAD GILL</x:v>
      </x:c>
    </x:row>
    <x:row r="71">
      <x:c r="A71" s="20" t="str">
        <x:v>GI-GILL-150-LOAD_GILL-CB</x:v>
      </x:c>
      <x:c r="B71" s="20" t="str">
        <x:v>7605780d-db33-5298-bc1d-d430bb61a08e</x:v>
      </x:c>
      <x:c r="C71" s="20" t="str">
        <x:v>Breaker</x:v>
      </x:c>
      <x:c r="D71" s="20" t="str">
        <x:v>CB LOAD GILL</x:v>
      </x:c>
      <x:c r="E71" s="20" t="str">
        <x:v>GI_GILL</x:v>
      </x:c>
      <x:c r="F71" s="20" t="n">
        <x:v>150</x:v>
      </x:c>
      <x:c r="G71" s="20" t="str">
        <x:v>LOAD_GILL</x:v>
      </x:c>
      <x:c r="H71" s="20" t="str">
        <x:v>ASSUMED</x:v>
      </x:c>
      <x:c r="I71" s="34" t="n">
        <x:v>0.72</x:v>
      </x:c>
      <x:c r="J71" s="20" t="str">
        <x:v>DRAFT</x:v>
      </x:c>
      <x:c r="K71" s="20" t="str"/>
      <x:c r="L71" s="20" t="str">
        <x:v>CB LOAD GILL in LOAD_GILL bay.</x:v>
      </x:c>
    </x:row>
    <x:row r="72">
      <x:c r="A72" s="20" t="str">
        <x:v>CB-GI-GILL-LOAD_GILL-T1</x:v>
      </x:c>
      <x:c r="B72" s="20" t="str">
        <x:v>01c40ff0-8488-50b1-9566-1f09548cb473</x:v>
      </x:c>
      <x:c r="C72" s="20" t="str">
        <x:v>Terminal</x:v>
      </x:c>
      <x:c r="D72" s="20" t="str">
        <x:v>1</x:v>
      </x:c>
      <x:c r="E72" s="20" t="str">
        <x:v>GI_GILL</x:v>
      </x:c>
      <x:c r="F72" s="20" t="str"/>
      <x:c r="G72" s="20" t="str"/>
      <x:c r="H72" s="20" t="str">
        <x:v>ASSUMED</x:v>
      </x:c>
      <x:c r="I72" s="34" t="n">
        <x:v>0.72</x:v>
      </x:c>
      <x:c r="J72" s="20" t="str">
        <x:v>DRAFT</x:v>
      </x:c>
      <x:c r="K72" s="20" t="str"/>
      <x:c r="L72" s="20" t="str">
        <x:v>Terminal 1 of CB LOAD GILL</x:v>
      </x:c>
    </x:row>
    <x:row r="73">
      <x:c r="A73" s="20" t="str">
        <x:v>CB-GI-GILL-LOAD_GILL-T2</x:v>
      </x:c>
      <x:c r="B73" s="20" t="str">
        <x:v>d9578121-8f07-52cb-b246-aa162eacb1ba</x:v>
      </x:c>
      <x:c r="C73" s="20" t="str">
        <x:v>Terminal</x:v>
      </x:c>
      <x:c r="D73" s="20" t="str">
        <x:v>2</x:v>
      </x:c>
      <x:c r="E73" s="20" t="str">
        <x:v>GI_GILL</x:v>
      </x:c>
      <x:c r="F73" s="20" t="str"/>
      <x:c r="G73" s="20" t="str"/>
      <x:c r="H73" s="20" t="str">
        <x:v>ASSUMED</x:v>
      </x:c>
      <x:c r="I73" s="34" t="n">
        <x:v>0.72</x:v>
      </x:c>
      <x:c r="J73" s="20" t="str">
        <x:v>DRAFT</x:v>
      </x:c>
      <x:c r="K73" s="20" t="str"/>
      <x:c r="L73" s="20" t="str">
        <x:v>Terminal 2 of CB LOAD GILL</x:v>
      </x:c>
    </x:row>
    <x:row r="74">
      <x:c r="A74" s="20" t="str">
        <x:v>GI-GILL-150-LOAD_GILL-DS-EQ</x:v>
      </x:c>
      <x:c r="B74" s="20" t="str">
        <x:v>03719b78-b387-53ea-a92d-645539d744c7</x:v>
      </x:c>
      <x:c r="C74" s="20" t="str">
        <x:v>Disconnector</x:v>
      </x:c>
      <x:c r="D74" s="20" t="str">
        <x:v>DS EQUIPMENT LOAD GILL</x:v>
      </x:c>
      <x:c r="E74" s="20" t="str">
        <x:v>GI_GILL</x:v>
      </x:c>
      <x:c r="F74" s="20" t="n">
        <x:v>150</x:v>
      </x:c>
      <x:c r="G74" s="20" t="str">
        <x:v>LOAD_GILL</x:v>
      </x:c>
      <x:c r="H74" s="20" t="str">
        <x:v>ASSUMED</x:v>
      </x:c>
      <x:c r="I74" s="34" t="n">
        <x:v>0.7</x:v>
      </x:c>
      <x:c r="J74" s="20" t="str">
        <x:v>DRAFT</x:v>
      </x:c>
      <x:c r="K74" s="20" t="str"/>
      <x:c r="L74" s="20" t="str">
        <x:v>DS EQUIPMENT LOAD GILL in LOAD_GILL bay.</x:v>
      </x:c>
    </x:row>
    <x:row r="75">
      <x:c r="A75" s="20" t="str">
        <x:v>DS-GI-GILL-LOAD_GILL-EQ-T1</x:v>
      </x:c>
      <x:c r="B75" s="20" t="str">
        <x:v>8adca9f1-644e-56e0-b118-501514aa4590</x:v>
      </x:c>
      <x:c r="C75" s="20" t="str">
        <x:v>Terminal</x:v>
      </x:c>
      <x:c r="D75" s="20" t="str">
        <x:v>1</x:v>
      </x:c>
      <x:c r="E75" s="20" t="str">
        <x:v>GI_GILL</x:v>
      </x:c>
      <x:c r="F75" s="20" t="str"/>
      <x:c r="G75" s="20" t="str"/>
      <x:c r="H75" s="20" t="str">
        <x:v>ASSUMED</x:v>
      </x:c>
      <x:c r="I75" s="34" t="n">
        <x:v>0.7</x:v>
      </x:c>
      <x:c r="J75" s="20" t="str">
        <x:v>DRAFT</x:v>
      </x:c>
      <x:c r="K75" s="20" t="str"/>
      <x:c r="L75" s="20" t="str">
        <x:v>Terminal 1 of DS EQUIPMENT LOAD GILL</x:v>
      </x:c>
    </x:row>
    <x:row r="76">
      <x:c r="A76" s="20" t="str">
        <x:v>DS-GI-GILL-LOAD_GILL-EQ-T2</x:v>
      </x:c>
      <x:c r="B76" s="20" t="str">
        <x:v>363af5ba-059a-5acb-ab31-972922d4594d</x:v>
      </x:c>
      <x:c r="C76" s="20" t="str">
        <x:v>Terminal</x:v>
      </x:c>
      <x:c r="D76" s="20" t="str">
        <x:v>2</x:v>
      </x:c>
      <x:c r="E76" s="20" t="str">
        <x:v>GI_GILL</x:v>
      </x:c>
      <x:c r="F76" s="20" t="str"/>
      <x:c r="G76" s="20" t="str"/>
      <x:c r="H76" s="20" t="str">
        <x:v>ASSUMED</x:v>
      </x:c>
      <x:c r="I76" s="34" t="n">
        <x:v>0.7</x:v>
      </x:c>
      <x:c r="J76" s="20" t="str">
        <x:v>DRAFT</x:v>
      </x:c>
      <x:c r="K76" s="20" t="str"/>
      <x:c r="L76" s="20" t="str">
        <x:v>Terminal 2 of DS EQUIPMENT LOAD GILL</x:v>
      </x:c>
    </x:row>
    <x:row r="77">
      <x:c r="A77" s="20" t="str">
        <x:v>GI-GILL-150-LOAD_GILL</x:v>
      </x:c>
      <x:c r="B77" s="20" t="str">
        <x:v>51abe3f7-3bad-593f-a491-c8965958ba7b</x:v>
      </x:c>
      <x:c r="C77" s="20" t="str">
        <x:v>ConformLoad</x:v>
      </x:c>
      <x:c r="D77" s="20" t="str">
        <x:v>LOAD GILL</x:v>
      </x:c>
      <x:c r="E77" s="20" t="str">
        <x:v>GI_GILL</x:v>
      </x:c>
      <x:c r="F77" s="20" t="n">
        <x:v>150</x:v>
      </x:c>
      <x:c r="G77" s="20" t="str">
        <x:v>LOAD_GILL</x:v>
      </x:c>
      <x:c r="H77" s="20" t="str">
        <x:v>SOURCE_NORMALIZED</x:v>
      </x:c>
      <x:c r="I77" s="34" t="n">
        <x:v>0.9</x:v>
      </x:c>
      <x:c r="J77" s="20" t="str">
        <x:v>DRAFT</x:v>
      </x:c>
      <x:c r="K77" s="20" t="str">
        <x:v>5307dd06-d00b-4521-95d0-a456c852d7cc</x:v>
      </x:c>
      <x:c r="L77" s="20" t="str">
        <x:v>Canonical ConformLoad for LOAD GILL. Source fixed P and Q are retained.</x:v>
      </x:c>
    </x:row>
    <x:row r="78">
      <x:c r="A78" s="20" t="str">
        <x:v>PRIMARY-GI-GILL-LOAD_GILL-T1</x:v>
      </x:c>
      <x:c r="B78" s="20" t="str">
        <x:v>6645d901-3d61-50b0-aefa-4e4717ffe501</x:v>
      </x:c>
      <x:c r="C78" s="20" t="str">
        <x:v>Terminal</x:v>
      </x:c>
      <x:c r="D78" s="20" t="str">
        <x:v>1</x:v>
      </x:c>
      <x:c r="E78" s="20" t="str">
        <x:v>GI_GILL</x:v>
      </x:c>
      <x:c r="F78" s="20" t="str"/>
      <x:c r="G78" s="20" t="str"/>
      <x:c r="H78" s="20" t="str">
        <x:v>SOURCE_TOPOLOGY_EXPANDED</x:v>
      </x:c>
      <x:c r="I78" s="34" t="n">
        <x:v>0.85</x:v>
      </x:c>
      <x:c r="J78" s="20" t="str">
        <x:v>DRAFT</x:v>
      </x:c>
      <x:c r="K78" s="20" t="str"/>
      <x:c r="L78" s="20" t="str">
        <x:v>Terminal 1 of LOAD GILL</x:v>
      </x:c>
    </x:row>
    <x:row r="79">
      <x:c r="A79" s="20" t="str">
        <x:v>GI-GILL-150-BAY-GEN_PUKIS</x:v>
      </x:c>
      <x:c r="B79" s="20" t="str">
        <x:v>d1256592-8cc8-5745-9ae6-393ea696cc6b</x:v>
      </x:c>
      <x:c r="C79" s="20" t="str">
        <x:v>Bay</x:v>
      </x:c>
      <x:c r="D79" s="20" t="str">
        <x:v>BAY GEN PUKIS</x:v>
      </x:c>
      <x:c r="E79" s="20" t="str">
        <x:v>GI_GILL</x:v>
      </x:c>
      <x:c r="F79" s="20" t="n">
        <x:v>150</x:v>
      </x:c>
      <x:c r="G79" s="20" t="str">
        <x:v>GEN_PUKIS</x:v>
      </x:c>
      <x:c r="H79" s="20" t="str">
        <x:v>SOURCE_DERIVED</x:v>
      </x:c>
      <x:c r="I79" s="34" t="n">
        <x:v>0.85</x:v>
      </x:c>
      <x:c r="J79" s="20" t="str">
        <x:v>DRAFT</x:v>
      </x:c>
      <x:c r="K79" s="20" t="str">
        <x:v>dd1040cd-7825-40e2-99e2-9c09aeff4b72</x:v>
      </x:c>
      <x:c r="L79" s="20" t="str">
        <x:v>Canonical single-bus bay for GEN PUKIS.</x:v>
      </x:c>
    </x:row>
    <x:row r="80">
      <x:c r="A80" s="20" t="str">
        <x:v>CN-GI-GILL-GEN_PUKIS-DS-CB</x:v>
      </x:c>
      <x:c r="B80" s="20" t="str">
        <x:v>3f212720-5ede-5853-abac-c731356f8c7a</x:v>
      </x:c>
      <x:c r="C80" s="20" t="str">
        <x:v>ConnectivityNode</x:v>
      </x:c>
      <x:c r="D80" s="20" t="str">
        <x:v>GEN_PUKIS DS-to-CB node</x:v>
      </x:c>
      <x:c r="E80" s="20" t="str">
        <x:v>GI_GILL</x:v>
      </x:c>
      <x:c r="F80" s="20" t="n">
        <x:v>150</x:v>
      </x:c>
      <x:c r="G80" s="20" t="str">
        <x:v>GEN_PUKIS</x:v>
      </x:c>
      <x:c r="H80" s="20" t="str">
        <x:v>ASSUMED</x:v>
      </x:c>
      <x:c r="I80" s="34" t="n">
        <x:v>0.7</x:v>
      </x:c>
      <x:c r="J80" s="20" t="str">
        <x:v>DRAFT</x:v>
      </x:c>
      <x:c r="K80" s="20" t="str"/>
      <x:c r="L80" s="20" t="str">
        <x:v>Connectivity node GEN_PUKIS DS-to-CB node.</x:v>
      </x:c>
    </x:row>
    <x:row r="81">
      <x:c r="A81" s="20" t="str">
        <x:v>CN-GI-GILL-GEN_PUKIS-CB-DS</x:v>
      </x:c>
      <x:c r="B81" s="20" t="str">
        <x:v>3019b0c5-477a-53be-aee6-d6b8821bb170</x:v>
      </x:c>
      <x:c r="C81" s="20" t="str">
        <x:v>ConnectivityNode</x:v>
      </x:c>
      <x:c r="D81" s="20" t="str">
        <x:v>GEN_PUKIS CB-to-DS node</x:v>
      </x:c>
      <x:c r="E81" s="20" t="str">
        <x:v>GI_GILL</x:v>
      </x:c>
      <x:c r="F81" s="20" t="n">
        <x:v>150</x:v>
      </x:c>
      <x:c r="G81" s="20" t="str">
        <x:v>GEN_PUKIS</x:v>
      </x:c>
      <x:c r="H81" s="20" t="str">
        <x:v>ASSUMED</x:v>
      </x:c>
      <x:c r="I81" s="34" t="n">
        <x:v>0.7</x:v>
      </x:c>
      <x:c r="J81" s="20" t="str">
        <x:v>DRAFT</x:v>
      </x:c>
      <x:c r="K81" s="20" t="str"/>
      <x:c r="L81" s="20" t="str">
        <x:v>Connectivity node GEN_PUKIS CB-to-DS node.</x:v>
      </x:c>
    </x:row>
    <x:row r="82">
      <x:c r="A82" s="20" t="str">
        <x:v>CN-GI-GILL-GEN_PUKIS-EQ</x:v>
      </x:c>
      <x:c r="B82" s="20" t="str">
        <x:v>9ab56a50-b935-5a51-b018-f6f578dab337</x:v>
      </x:c>
      <x:c r="C82" s="20" t="str">
        <x:v>ConnectivityNode</x:v>
      </x:c>
      <x:c r="D82" s="20" t="str">
        <x:v>GEN_PUKIS equipment terminal node</x:v>
      </x:c>
      <x:c r="E82" s="20" t="str">
        <x:v>GI_GILL</x:v>
      </x:c>
      <x:c r="F82" s="20" t="n">
        <x:v>150</x:v>
      </x:c>
      <x:c r="G82" s="20" t="str">
        <x:v>GEN_PUKIS</x:v>
      </x:c>
      <x:c r="H82" s="20" t="str">
        <x:v>SOURCE_TOPOLOGY_EXPANDED</x:v>
      </x:c>
      <x:c r="I82" s="34" t="n">
        <x:v>0.8</x:v>
      </x:c>
      <x:c r="J82" s="20" t="str">
        <x:v>DRAFT</x:v>
      </x:c>
      <x:c r="K82" s="20" t="str"/>
      <x:c r="L82" s="20" t="str">
        <x:v>Connectivity node GEN_PUKIS equipment terminal node.</x:v>
      </x:c>
    </x:row>
    <x:row r="83">
      <x:c r="A83" s="20" t="str">
        <x:v>GI-GILL-150-GEN_PUKIS-DS-BUS</x:v>
      </x:c>
      <x:c r="B83" s="20" t="str">
        <x:v>c8ac321d-d206-5c3b-8a80-c378800ac9cb</x:v>
      </x:c>
      <x:c r="C83" s="20" t="str">
        <x:v>Disconnector</x:v>
      </x:c>
      <x:c r="D83" s="20" t="str">
        <x:v>DS BUS GEN PUKIS</x:v>
      </x:c>
      <x:c r="E83" s="20" t="str">
        <x:v>GI_GILL</x:v>
      </x:c>
      <x:c r="F83" s="20" t="n">
        <x:v>150</x:v>
      </x:c>
      <x:c r="G83" s="20" t="str">
        <x:v>GEN_PUKIS</x:v>
      </x:c>
      <x:c r="H83" s="20" t="str">
        <x:v>ASSUMED</x:v>
      </x:c>
      <x:c r="I83" s="34" t="n">
        <x:v>0.7</x:v>
      </x:c>
      <x:c r="J83" s="20" t="str">
        <x:v>DRAFT</x:v>
      </x:c>
      <x:c r="K83" s="20" t="str"/>
      <x:c r="L83" s="20" t="str">
        <x:v>DS BUS GEN PUKIS in GEN_PUKIS bay.</x:v>
      </x:c>
    </x:row>
    <x:row r="84">
      <x:c r="A84" s="20" t="str">
        <x:v>DS-GI-GILL-GEN_PUKIS-BUS-T1</x:v>
      </x:c>
      <x:c r="B84" s="20" t="str">
        <x:v>80335575-a7bd-5250-8470-b699579716d7</x:v>
      </x:c>
      <x:c r="C84" s="20" t="str">
        <x:v>Terminal</x:v>
      </x:c>
      <x:c r="D84" s="20" t="str">
        <x:v>1</x:v>
      </x:c>
      <x:c r="E84" s="20" t="str">
        <x:v>GI_GILL</x:v>
      </x:c>
      <x:c r="F84" s="20" t="str"/>
      <x:c r="G84" s="20" t="str"/>
      <x:c r="H84" s="20" t="str">
        <x:v>ASSUMED</x:v>
      </x:c>
      <x:c r="I84" s="34" t="n">
        <x:v>0.7</x:v>
      </x:c>
      <x:c r="J84" s="20" t="str">
        <x:v>DRAFT</x:v>
      </x:c>
      <x:c r="K84" s="20" t="str"/>
      <x:c r="L84" s="20" t="str">
        <x:v>Terminal 1 of DS BUS GEN PUKIS</x:v>
      </x:c>
    </x:row>
    <x:row r="85">
      <x:c r="A85" s="20" t="str">
        <x:v>DS-GI-GILL-GEN_PUKIS-BUS-T2</x:v>
      </x:c>
      <x:c r="B85" s="20" t="str">
        <x:v>ed38e3aa-c2ae-5613-a1d4-e754cba5292c</x:v>
      </x:c>
      <x:c r="C85" s="20" t="str">
        <x:v>Terminal</x:v>
      </x:c>
      <x:c r="D85" s="20" t="str">
        <x:v>2</x:v>
      </x:c>
      <x:c r="E85" s="20" t="str">
        <x:v>GI_GILL</x:v>
      </x:c>
      <x:c r="F85" s="20" t="str"/>
      <x:c r="G85" s="20" t="str"/>
      <x:c r="H85" s="20" t="str">
        <x:v>ASSUMED</x:v>
      </x:c>
      <x:c r="I85" s="34" t="n">
        <x:v>0.7</x:v>
      </x:c>
      <x:c r="J85" s="20" t="str">
        <x:v>DRAFT</x:v>
      </x:c>
      <x:c r="K85" s="20" t="str"/>
      <x:c r="L85" s="20" t="str">
        <x:v>Terminal 2 of DS BUS GEN PUKIS</x:v>
      </x:c>
    </x:row>
    <x:row r="86">
      <x:c r="A86" s="20" t="str">
        <x:v>GI-GILL-150-GEN_PUKIS-CB</x:v>
      </x:c>
      <x:c r="B86" s="20" t="str">
        <x:v>79d6b1aa-6072-5b66-9a45-a346fa0efe57</x:v>
      </x:c>
      <x:c r="C86" s="20" t="str">
        <x:v>Breaker</x:v>
      </x:c>
      <x:c r="D86" s="20" t="str">
        <x:v>CB GEN PUKIS</x:v>
      </x:c>
      <x:c r="E86" s="20" t="str">
        <x:v>GI_GILL</x:v>
      </x:c>
      <x:c r="F86" s="20" t="n">
        <x:v>150</x:v>
      </x:c>
      <x:c r="G86" s="20" t="str">
        <x:v>GEN_PUKIS</x:v>
      </x:c>
      <x:c r="H86" s="20" t="str">
        <x:v>ASSUMED</x:v>
      </x:c>
      <x:c r="I86" s="34" t="n">
        <x:v>0.72</x:v>
      </x:c>
      <x:c r="J86" s="20" t="str">
        <x:v>DRAFT</x:v>
      </x:c>
      <x:c r="K86" s="20" t="str"/>
      <x:c r="L86" s="20" t="str">
        <x:v>CB GEN PUKIS in GEN_PUKIS bay.</x:v>
      </x:c>
    </x:row>
    <x:row r="87">
      <x:c r="A87" s="20" t="str">
        <x:v>CB-GI-GILL-GEN_PUKIS-T1</x:v>
      </x:c>
      <x:c r="B87" s="20" t="str">
        <x:v>8bc3f7b7-cf01-5052-b726-3ac977c9df7f</x:v>
      </x:c>
      <x:c r="C87" s="20" t="str">
        <x:v>Terminal</x:v>
      </x:c>
      <x:c r="D87" s="20" t="str">
        <x:v>1</x:v>
      </x:c>
      <x:c r="E87" s="20" t="str">
        <x:v>GI_GILL</x:v>
      </x:c>
      <x:c r="F87" s="20" t="str"/>
      <x:c r="G87" s="20" t="str"/>
      <x:c r="H87" s="20" t="str">
        <x:v>ASSUMED</x:v>
      </x:c>
      <x:c r="I87" s="34" t="n">
        <x:v>0.72</x:v>
      </x:c>
      <x:c r="J87" s="20" t="str">
        <x:v>DRAFT</x:v>
      </x:c>
      <x:c r="K87" s="20" t="str"/>
      <x:c r="L87" s="20" t="str">
        <x:v>Terminal 1 of CB GEN PUKIS</x:v>
      </x:c>
    </x:row>
    <x:row r="88">
      <x:c r="A88" s="20" t="str">
        <x:v>CB-GI-GILL-GEN_PUKIS-T2</x:v>
      </x:c>
      <x:c r="B88" s="20" t="str">
        <x:v>c256adb9-648c-53d0-9f57-576efecb6935</x:v>
      </x:c>
      <x:c r="C88" s="20" t="str">
        <x:v>Terminal</x:v>
      </x:c>
      <x:c r="D88" s="20" t="str">
        <x:v>2</x:v>
      </x:c>
      <x:c r="E88" s="20" t="str">
        <x:v>GI_GILL</x:v>
      </x:c>
      <x:c r="F88" s="20" t="str"/>
      <x:c r="G88" s="20" t="str"/>
      <x:c r="H88" s="20" t="str">
        <x:v>ASSUMED</x:v>
      </x:c>
      <x:c r="I88" s="34" t="n">
        <x:v>0.72</x:v>
      </x:c>
      <x:c r="J88" s="20" t="str">
        <x:v>DRAFT</x:v>
      </x:c>
      <x:c r="K88" s="20" t="str"/>
      <x:c r="L88" s="20" t="str">
        <x:v>Terminal 2 of CB GEN PUKIS</x:v>
      </x:c>
    </x:row>
    <x:row r="89">
      <x:c r="A89" s="20" t="str">
        <x:v>GI-GILL-150-GEN_PUKIS-DS-EQ</x:v>
      </x:c>
      <x:c r="B89" s="20" t="str">
        <x:v>25bb5407-c81e-5d68-b65e-0e1ec4266ef0</x:v>
      </x:c>
      <x:c r="C89" s="20" t="str">
        <x:v>Disconnector</x:v>
      </x:c>
      <x:c r="D89" s="20" t="str">
        <x:v>DS EQUIPMENT GEN PUKIS</x:v>
      </x:c>
      <x:c r="E89" s="20" t="str">
        <x:v>GI_GILL</x:v>
      </x:c>
      <x:c r="F89" s="20" t="n">
        <x:v>150</x:v>
      </x:c>
      <x:c r="G89" s="20" t="str">
        <x:v>GEN_PUKIS</x:v>
      </x:c>
      <x:c r="H89" s="20" t="str">
        <x:v>SOURCE_RECAST</x:v>
      </x:c>
      <x:c r="I89" s="34" t="n">
        <x:v>0.68</x:v>
      </x:c>
      <x:c r="J89" s="20" t="str">
        <x:v>DRAFT</x:v>
      </x:c>
      <x:c r="K89" s="20" t="str">
        <x:v>b2f3994d-04ff-4740-8e9d-ec4361ff94b4</x:v>
      </x:c>
      <x:c r="L89" s="20" t="str">
        <x:v>DS EQUIPMENT GEN PUKIS in GEN_PUKIS bay.</x:v>
      </x:c>
    </x:row>
    <x:row r="90">
      <x:c r="A90" s="20" t="str">
        <x:v>DS-GI-GILL-GEN_PUKIS-EQ-T1</x:v>
      </x:c>
      <x:c r="B90" s="20" t="str">
        <x:v>a800fbd0-c240-52b9-86be-c461f98c6782</x:v>
      </x:c>
      <x:c r="C90" s="20" t="str">
        <x:v>Terminal</x:v>
      </x:c>
      <x:c r="D90" s="20" t="str">
        <x:v>1</x:v>
      </x:c>
      <x:c r="E90" s="20" t="str">
        <x:v>GI_GILL</x:v>
      </x:c>
      <x:c r="F90" s="20" t="str"/>
      <x:c r="G90" s="20" t="str"/>
      <x:c r="H90" s="20" t="str">
        <x:v>SOURCE_RECAST</x:v>
      </x:c>
      <x:c r="I90" s="34" t="n">
        <x:v>0.68</x:v>
      </x:c>
      <x:c r="J90" s="20" t="str">
        <x:v>DRAFT</x:v>
      </x:c>
      <x:c r="K90" s="20" t="str"/>
      <x:c r="L90" s="20" t="str">
        <x:v>Terminal 1 of DS EQUIPMENT GEN PUKIS</x:v>
      </x:c>
    </x:row>
    <x:row r="91">
      <x:c r="A91" s="20" t="str">
        <x:v>DS-GI-GILL-GEN_PUKIS-EQ-T2</x:v>
      </x:c>
      <x:c r="B91" s="20" t="str">
        <x:v>60d7de11-a5ee-5b8e-8fe4-f0a65b335034</x:v>
      </x:c>
      <x:c r="C91" s="20" t="str">
        <x:v>Terminal</x:v>
      </x:c>
      <x:c r="D91" s="20" t="str">
        <x:v>2</x:v>
      </x:c>
      <x:c r="E91" s="20" t="str">
        <x:v>GI_GILL</x:v>
      </x:c>
      <x:c r="F91" s="20" t="str"/>
      <x:c r="G91" s="20" t="str"/>
      <x:c r="H91" s="20" t="str">
        <x:v>SOURCE_RECAST</x:v>
      </x:c>
      <x:c r="I91" s="34" t="n">
        <x:v>0.68</x:v>
      </x:c>
      <x:c r="J91" s="20" t="str">
        <x:v>DRAFT</x:v>
      </x:c>
      <x:c r="K91" s="20" t="str"/>
      <x:c r="L91" s="20" t="str">
        <x:v>Terminal 2 of DS EQUIPMENT GEN PUKIS</x:v>
      </x:c>
    </x:row>
    <x:row r="92">
      <x:c r="A92" s="20" t="str">
        <x:v>GI-GILL-150-GEN_PUKIS</x:v>
      </x:c>
      <x:c r="B92" s="20" t="str">
        <x:v>eb80c047-7ec9-5900-bcc8-ff335ba3e6e6</x:v>
      </x:c>
      <x:c r="C92" s="20" t="str">
        <x:v>SynchronousMachine</x:v>
      </x:c>
      <x:c r="D92" s="20" t="str">
        <x:v>GEN PUKIS</x:v>
      </x:c>
      <x:c r="E92" s="20" t="str">
        <x:v>GI_GILL</x:v>
      </x:c>
      <x:c r="F92" s="20" t="n">
        <x:v>150</x:v>
      </x:c>
      <x:c r="G92" s="20" t="str">
        <x:v>GEN_PUKIS</x:v>
      </x:c>
      <x:c r="H92" s="20" t="str">
        <x:v>SOURCE_NORMALIZED</x:v>
      </x:c>
      <x:c r="I92" s="34" t="n">
        <x:v>0.9</x:v>
      </x:c>
      <x:c r="J92" s="20" t="str">
        <x:v>DRAFT</x:v>
      </x:c>
      <x:c r="K92" s="20" t="str">
        <x:v>dd1040cd-7825-40e2-99e2-9c09aeff4b72</x:v>
      </x:c>
      <x:c r="L92" s="20" t="str">
        <x:v>Canonical SynchronousMachine for GEN PUKIS. Source generator ratings are retained.</x:v>
      </x:c>
    </x:row>
    <x:row r="93">
      <x:c r="A93" s="20" t="str">
        <x:v>PRIMARY-GI-GILL-GEN_PUKIS-T1</x:v>
      </x:c>
      <x:c r="B93" s="20" t="str">
        <x:v>e0977a7e-f3df-5fc6-aeef-11978370f36c</x:v>
      </x:c>
      <x:c r="C93" s="20" t="str">
        <x:v>Terminal</x:v>
      </x:c>
      <x:c r="D93" s="20" t="str">
        <x:v>1</x:v>
      </x:c>
      <x:c r="E93" s="20" t="str">
        <x:v>GI_GILL</x:v>
      </x:c>
      <x:c r="F93" s="20" t="str"/>
      <x:c r="G93" s="20" t="str"/>
      <x:c r="H93" s="20" t="str">
        <x:v>SOURCE_TOPOLOGY_EXPANDED</x:v>
      </x:c>
      <x:c r="I93" s="34" t="n">
        <x:v>0.85</x:v>
      </x:c>
      <x:c r="J93" s="20" t="str">
        <x:v>DRAFT</x:v>
      </x:c>
      <x:c r="K93" s="20" t="str"/>
      <x:c r="L93" s="20" t="str">
        <x:v>Terminal 1 of GEN PUKIS</x:v>
      </x:c>
    </x:row>
    <x:row r="94">
      <x:c r="A94" s="20" t="str">
        <x:v>GI-GILL-150-BAY-TRF_PUKIS</x:v>
      </x:c>
      <x:c r="B94" s="20" t="str">
        <x:v>edd5aaa8-777d-5753-8425-06b297ad3470</x:v>
      </x:c>
      <x:c r="C94" s="20" t="str">
        <x:v>Bay</x:v>
      </x:c>
      <x:c r="D94" s="20" t="str">
        <x:v>BAY TRAFO PUKIS</x:v>
      </x:c>
      <x:c r="E94" s="20" t="str">
        <x:v>GI_GILL</x:v>
      </x:c>
      <x:c r="F94" s="20" t="n">
        <x:v>150</x:v>
      </x:c>
      <x:c r="G94" s="20" t="str">
        <x:v>TRF_PUKIS</x:v>
      </x:c>
      <x:c r="H94" s="20" t="str">
        <x:v>SOURCE_DERIVED</x:v>
      </x:c>
      <x:c r="I94" s="34" t="n">
        <x:v>0.85</x:v>
      </x:c>
      <x:c r="J94" s="20" t="str">
        <x:v>DRAFT</x:v>
      </x:c>
      <x:c r="K94" s="20" t="str">
        <x:v>14393b6d-4323-4808-9a2d-cda47109cd5b</x:v>
      </x:c>
      <x:c r="L94" s="20" t="str">
        <x:v>Canonical single-bus bay for TRAFO PUKIS.</x:v>
      </x:c>
    </x:row>
    <x:row r="95">
      <x:c r="A95" s="20" t="str">
        <x:v>CN-GI-GILL-TRF_PUKIS-DS-CB</x:v>
      </x:c>
      <x:c r="B95" s="20" t="str">
        <x:v>12b8097a-958b-5e8f-8f09-7611bc4dbc29</x:v>
      </x:c>
      <x:c r="C95" s="20" t="str">
        <x:v>ConnectivityNode</x:v>
      </x:c>
      <x:c r="D95" s="20" t="str">
        <x:v>TRF_PUKIS DS-to-CB node</x:v>
      </x:c>
      <x:c r="E95" s="20" t="str">
        <x:v>GI_GILL</x:v>
      </x:c>
      <x:c r="F95" s="20" t="n">
        <x:v>150</x:v>
      </x:c>
      <x:c r="G95" s="20" t="str">
        <x:v>TRF_PUKIS</x:v>
      </x:c>
      <x:c r="H95" s="20" t="str">
        <x:v>ASSUMED</x:v>
      </x:c>
      <x:c r="I95" s="34" t="n">
        <x:v>0.7</x:v>
      </x:c>
      <x:c r="J95" s="20" t="str">
        <x:v>DRAFT</x:v>
      </x:c>
      <x:c r="K95" s="20" t="str"/>
      <x:c r="L95" s="20" t="str">
        <x:v>Connectivity node TRF_PUKIS DS-to-CB node.</x:v>
      </x:c>
    </x:row>
    <x:row r="96">
      <x:c r="A96" s="20" t="str">
        <x:v>CN-GI-GILL-TRF_PUKIS-CB-DS</x:v>
      </x:c>
      <x:c r="B96" s="20" t="str">
        <x:v>260c88ff-f31f-5af5-b1b4-84debf8caac4</x:v>
      </x:c>
      <x:c r="C96" s="20" t="str">
        <x:v>ConnectivityNode</x:v>
      </x:c>
      <x:c r="D96" s="20" t="str">
        <x:v>TRF_PUKIS CB-to-DS node</x:v>
      </x:c>
      <x:c r="E96" s="20" t="str">
        <x:v>GI_GILL</x:v>
      </x:c>
      <x:c r="F96" s="20" t="n">
        <x:v>150</x:v>
      </x:c>
      <x:c r="G96" s="20" t="str">
        <x:v>TRF_PUKIS</x:v>
      </x:c>
      <x:c r="H96" s="20" t="str">
        <x:v>ASSUMED</x:v>
      </x:c>
      <x:c r="I96" s="34" t="n">
        <x:v>0.7</x:v>
      </x:c>
      <x:c r="J96" s="20" t="str">
        <x:v>DRAFT</x:v>
      </x:c>
      <x:c r="K96" s="20" t="str"/>
      <x:c r="L96" s="20" t="str">
        <x:v>Connectivity node TRF_PUKIS CB-to-DS node.</x:v>
      </x:c>
    </x:row>
    <x:row r="97">
      <x:c r="A97" s="20" t="str">
        <x:v>CN-GI-GILL-TRF_PUKIS-EQ</x:v>
      </x:c>
      <x:c r="B97" s="20" t="str">
        <x:v>4f21795a-a1f7-5a5c-b93f-65d05bc76b30</x:v>
      </x:c>
      <x:c r="C97" s="20" t="str">
        <x:v>ConnectivityNode</x:v>
      </x:c>
      <x:c r="D97" s="20" t="str">
        <x:v>TRF_PUKIS equipment terminal node</x:v>
      </x:c>
      <x:c r="E97" s="20" t="str">
        <x:v>GI_GILL</x:v>
      </x:c>
      <x:c r="F97" s="20" t="n">
        <x:v>150</x:v>
      </x:c>
      <x:c r="G97" s="20" t="str">
        <x:v>TRF_PUKIS</x:v>
      </x:c>
      <x:c r="H97" s="20" t="str">
        <x:v>SOURCE_TOPOLOGY_EXPANDED</x:v>
      </x:c>
      <x:c r="I97" s="34" t="n">
        <x:v>0.8</x:v>
      </x:c>
      <x:c r="J97" s="20" t="str">
        <x:v>DRAFT</x:v>
      </x:c>
      <x:c r="K97" s="20" t="str"/>
      <x:c r="L97" s="20" t="str">
        <x:v>Connectivity node TRF_PUKIS equipment terminal node.</x:v>
      </x:c>
    </x:row>
    <x:row r="98">
      <x:c r="A98" s="20" t="str">
        <x:v>GI-GILL-150-TRF_PUKIS-DS-BUS</x:v>
      </x:c>
      <x:c r="B98" s="20" t="str">
        <x:v>84e2fd75-2570-5031-99c9-ece1291b7631</x:v>
      </x:c>
      <x:c r="C98" s="20" t="str">
        <x:v>Disconnector</x:v>
      </x:c>
      <x:c r="D98" s="20" t="str">
        <x:v>DS BUS TRAFO PUKIS</x:v>
      </x:c>
      <x:c r="E98" s="20" t="str">
        <x:v>GI_GILL</x:v>
      </x:c>
      <x:c r="F98" s="20" t="n">
        <x:v>150</x:v>
      </x:c>
      <x:c r="G98" s="20" t="str">
        <x:v>TRF_PUKIS</x:v>
      </x:c>
      <x:c r="H98" s="20" t="str">
        <x:v>ASSUMED</x:v>
      </x:c>
      <x:c r="I98" s="34" t="n">
        <x:v>0.7</x:v>
      </x:c>
      <x:c r="J98" s="20" t="str">
        <x:v>DRAFT</x:v>
      </x:c>
      <x:c r="K98" s="20" t="str"/>
      <x:c r="L98" s="20" t="str">
        <x:v>DS BUS TRAFO PUKIS in TRF_PUKIS bay.</x:v>
      </x:c>
    </x:row>
    <x:row r="99">
      <x:c r="A99" s="20" t="str">
        <x:v>DS-GI-GILL-TRF_PUKIS-BUS-T1</x:v>
      </x:c>
      <x:c r="B99" s="20" t="str">
        <x:v>0a7af868-579c-5f15-8b14-4dc9f8a09bba</x:v>
      </x:c>
      <x:c r="C99" s="20" t="str">
        <x:v>Terminal</x:v>
      </x:c>
      <x:c r="D99" s="20" t="str">
        <x:v>1</x:v>
      </x:c>
      <x:c r="E99" s="20" t="str">
        <x:v>GI_GILL</x:v>
      </x:c>
      <x:c r="F99" s="20" t="str"/>
      <x:c r="G99" s="20" t="str"/>
      <x:c r="H99" s="20" t="str">
        <x:v>ASSUMED</x:v>
      </x:c>
      <x:c r="I99" s="34" t="n">
        <x:v>0.7</x:v>
      </x:c>
      <x:c r="J99" s="20" t="str">
        <x:v>DRAFT</x:v>
      </x:c>
      <x:c r="K99" s="20" t="str"/>
      <x:c r="L99" s="20" t="str">
        <x:v>Terminal 1 of DS BUS TRAFO PUKIS</x:v>
      </x:c>
    </x:row>
    <x:row r="100">
      <x:c r="A100" s="20" t="str">
        <x:v>DS-GI-GILL-TRF_PUKIS-BUS-T2</x:v>
      </x:c>
      <x:c r="B100" s="20" t="str">
        <x:v>48b27b4c-15ef-5f69-aa92-0ba3e3d031da</x:v>
      </x:c>
      <x:c r="C100" s="20" t="str">
        <x:v>Terminal</x:v>
      </x:c>
      <x:c r="D100" s="20" t="str">
        <x:v>2</x:v>
      </x:c>
      <x:c r="E100" s="20" t="str">
        <x:v>GI_GILL</x:v>
      </x:c>
      <x:c r="F100" s="20" t="str"/>
      <x:c r="G100" s="20" t="str"/>
      <x:c r="H100" s="20" t="str">
        <x:v>ASSUMED</x:v>
      </x:c>
      <x:c r="I100" s="34" t="n">
        <x:v>0.7</x:v>
      </x:c>
      <x:c r="J100" s="20" t="str">
        <x:v>DRAFT</x:v>
      </x:c>
      <x:c r="K100" s="20" t="str"/>
      <x:c r="L100" s="20" t="str">
        <x:v>Terminal 2 of DS BUS TRAFO PUKIS</x:v>
      </x:c>
    </x:row>
    <x:row r="101">
      <x:c r="A101" s="20" t="str">
        <x:v>GI-GILL-150-TRF_PUKIS-CB</x:v>
      </x:c>
      <x:c r="B101" s="20" t="str">
        <x:v>0006adee-2688-5bcd-8e96-a828a4b90135</x:v>
      </x:c>
      <x:c r="C101" s="20" t="str">
        <x:v>Breaker</x:v>
      </x:c>
      <x:c r="D101" s="20" t="str">
        <x:v>CB TRAFO PUKIS</x:v>
      </x:c>
      <x:c r="E101" s="20" t="str">
        <x:v>GI_GILL</x:v>
      </x:c>
      <x:c r="F101" s="20" t="n">
        <x:v>150</x:v>
      </x:c>
      <x:c r="G101" s="20" t="str">
        <x:v>TRF_PUKIS</x:v>
      </x:c>
      <x:c r="H101" s="20" t="str">
        <x:v>ASSUMED</x:v>
      </x:c>
      <x:c r="I101" s="34" t="n">
        <x:v>0.72</x:v>
      </x:c>
      <x:c r="J101" s="20" t="str">
        <x:v>DRAFT</x:v>
      </x:c>
      <x:c r="K101" s="20" t="str"/>
      <x:c r="L101" s="20" t="str">
        <x:v>CB TRAFO PUKIS in TRF_PUKIS bay.</x:v>
      </x:c>
    </x:row>
    <x:row r="102">
      <x:c r="A102" s="20" t="str">
        <x:v>CB-GI-GILL-TRF_PUKIS-T1</x:v>
      </x:c>
      <x:c r="B102" s="20" t="str">
        <x:v>4aa39be5-d4de-5a3c-851f-94135565ccb1</x:v>
      </x:c>
      <x:c r="C102" s="20" t="str">
        <x:v>Terminal</x:v>
      </x:c>
      <x:c r="D102" s="20" t="str">
        <x:v>1</x:v>
      </x:c>
      <x:c r="E102" s="20" t="str">
        <x:v>GI_GILL</x:v>
      </x:c>
      <x:c r="F102" s="20" t="str"/>
      <x:c r="G102" s="20" t="str"/>
      <x:c r="H102" s="20" t="str">
        <x:v>ASSUMED</x:v>
      </x:c>
      <x:c r="I102" s="34" t="n">
        <x:v>0.72</x:v>
      </x:c>
      <x:c r="J102" s="20" t="str">
        <x:v>DRAFT</x:v>
      </x:c>
      <x:c r="K102" s="20" t="str"/>
      <x:c r="L102" s="20" t="str">
        <x:v>Terminal 1 of CB TRAFO PUKIS</x:v>
      </x:c>
    </x:row>
    <x:row r="103">
      <x:c r="A103" s="20" t="str">
        <x:v>CB-GI-GILL-TRF_PUKIS-T2</x:v>
      </x:c>
      <x:c r="B103" s="20" t="str">
        <x:v>c62c276a-bccb-5ae6-aa64-5b78210ba66b</x:v>
      </x:c>
      <x:c r="C103" s="20" t="str">
        <x:v>Terminal</x:v>
      </x:c>
      <x:c r="D103" s="20" t="str">
        <x:v>2</x:v>
      </x:c>
      <x:c r="E103" s="20" t="str">
        <x:v>GI_GILL</x:v>
      </x:c>
      <x:c r="F103" s="20" t="str"/>
      <x:c r="G103" s="20" t="str"/>
      <x:c r="H103" s="20" t="str">
        <x:v>ASSUMED</x:v>
      </x:c>
      <x:c r="I103" s="34" t="n">
        <x:v>0.72</x:v>
      </x:c>
      <x:c r="J103" s="20" t="str">
        <x:v>DRAFT</x:v>
      </x:c>
      <x:c r="K103" s="20" t="str"/>
      <x:c r="L103" s="20" t="str">
        <x:v>Terminal 2 of CB TRAFO PUKIS</x:v>
      </x:c>
    </x:row>
    <x:row r="104">
      <x:c r="A104" s="20" t="str">
        <x:v>GI-GILL-150-TRF_PUKIS-DS-EQ</x:v>
      </x:c>
      <x:c r="B104" s="20" t="str">
        <x:v>1b1e2237-c548-52cc-92aa-101f8c41f6cb</x:v>
      </x:c>
      <x:c r="C104" s="20" t="str">
        <x:v>Disconnector</x:v>
      </x:c>
      <x:c r="D104" s="20" t="str">
        <x:v>DS EQUIPMENT TRAFO PUKIS</x:v>
      </x:c>
      <x:c r="E104" s="20" t="str">
        <x:v>GI_GILL</x:v>
      </x:c>
      <x:c r="F104" s="20" t="n">
        <x:v>150</x:v>
      </x:c>
      <x:c r="G104" s="20" t="str">
        <x:v>TRF_PUKIS</x:v>
      </x:c>
      <x:c r="H104" s="20" t="str">
        <x:v>ASSUMED</x:v>
      </x:c>
      <x:c r="I104" s="34" t="n">
        <x:v>0.7</x:v>
      </x:c>
      <x:c r="J104" s="20" t="str">
        <x:v>DRAFT</x:v>
      </x:c>
      <x:c r="K104" s="20" t="str"/>
      <x:c r="L104" s="20" t="str">
        <x:v>DS EQUIPMENT TRAFO PUKIS in TRF_PUKIS bay.</x:v>
      </x:c>
    </x:row>
    <x:row r="105">
      <x:c r="A105" s="20" t="str">
        <x:v>DS-GI-GILL-TRF_PUKIS-EQ-T1</x:v>
      </x:c>
      <x:c r="B105" s="20" t="str">
        <x:v>5bd91558-8e26-5d48-b24f-3861402e8dc6</x:v>
      </x:c>
      <x:c r="C105" s="20" t="str">
        <x:v>Terminal</x:v>
      </x:c>
      <x:c r="D105" s="20" t="str">
        <x:v>1</x:v>
      </x:c>
      <x:c r="E105" s="20" t="str">
        <x:v>GI_GILL</x:v>
      </x:c>
      <x:c r="F105" s="20" t="str"/>
      <x:c r="G105" s="20" t="str"/>
      <x:c r="H105" s="20" t="str">
        <x:v>ASSUMED</x:v>
      </x:c>
      <x:c r="I105" s="34" t="n">
        <x:v>0.7</x:v>
      </x:c>
      <x:c r="J105" s="20" t="str">
        <x:v>DRAFT</x:v>
      </x:c>
      <x:c r="K105" s="20" t="str"/>
      <x:c r="L105" s="20" t="str">
        <x:v>Terminal 1 of DS EQUIPMENT TRAFO PUKIS</x:v>
      </x:c>
    </x:row>
    <x:row r="106">
      <x:c r="A106" s="20" t="str">
        <x:v>DS-GI-GILL-TRF_PUKIS-EQ-T2</x:v>
      </x:c>
      <x:c r="B106" s="20" t="str">
        <x:v>1f4aae22-7ee5-56cb-ba1a-4f04610fba29</x:v>
      </x:c>
      <x:c r="C106" s="20" t="str">
        <x:v>Terminal</x:v>
      </x:c>
      <x:c r="D106" s="20" t="str">
        <x:v>2</x:v>
      </x:c>
      <x:c r="E106" s="20" t="str">
        <x:v>GI_GILL</x:v>
      </x:c>
      <x:c r="F106" s="20" t="str"/>
      <x:c r="G106" s="20" t="str"/>
      <x:c r="H106" s="20" t="str">
        <x:v>ASSUMED</x:v>
      </x:c>
      <x:c r="I106" s="34" t="n">
        <x:v>0.7</x:v>
      </x:c>
      <x:c r="J106" s="20" t="str">
        <x:v>DRAFT</x:v>
      </x:c>
      <x:c r="K106" s="20" t="str"/>
      <x:c r="L106" s="20" t="str">
        <x:v>Terminal 2 of DS EQUIPMENT TRAFO PUKIS</x:v>
      </x:c>
    </x:row>
    <x:row r="107">
      <x:c r="A107" s="20" t="str">
        <x:v>GI-GILL-150-TRF_PUKIS</x:v>
      </x:c>
      <x:c r="B107" s="20" t="str">
        <x:v>2ea6e28f-4fd6-5d0a-8ef4-9230e645ab6a</x:v>
      </x:c>
      <x:c r="C107" s="20" t="str">
        <x:v>PowerTransformer</x:v>
      </x:c>
      <x:c r="D107" s="20" t="str">
        <x:v>TRAFO PUKIS</x:v>
      </x:c>
      <x:c r="E107" s="20" t="str">
        <x:v>GI_GILL</x:v>
      </x:c>
      <x:c r="F107" s="20" t="n">
        <x:v>150</x:v>
      </x:c>
      <x:c r="G107" s="20" t="str">
        <x:v>TRF_PUKIS</x:v>
      </x:c>
      <x:c r="H107" s="20" t="str">
        <x:v>SOURCE_NORMALIZED</x:v>
      </x:c>
      <x:c r="I107" s="34" t="n">
        <x:v>0.9</x:v>
      </x:c>
      <x:c r="J107" s="20" t="str">
        <x:v>DRAFT</x:v>
      </x:c>
      <x:c r="K107" s="20" t="str">
        <x:v>14393b6d-4323-4808-9a2d-cda47109cd5b</x:v>
      </x:c>
      <x:c r="L107" s="20" t="str">
        <x:v>Canonical PowerTransformer for TRAFO PUKIS. Source transformer-end data are retained; voltage-ratio inconsistency is flagged.</x:v>
      </x:c>
    </x:row>
    <x:row r="108">
      <x:c r="A108" s="20" t="str">
        <x:v>CN-GI-GILL-TRF_PUKIS-END2</x:v>
      </x:c>
      <x:c r="B108" s="20" t="str">
        <x:v>d21c2b03-6a8e-55a5-bfda-252f20c9cd5c</x:v>
      </x:c>
      <x:c r="C108" s="20" t="str">
        <x:v>ConnectivityNode</x:v>
      </x:c>
      <x:c r="D108" s="20" t="str">
        <x:v>TRF_PUKIS transformer end-2 boundary node</x:v>
      </x:c>
      <x:c r="E108" s="20" t="str">
        <x:v>GI_GILL</x:v>
      </x:c>
      <x:c r="F108" s="20" t="n">
        <x:v>150</x:v>
      </x:c>
      <x:c r="G108" s="20" t="str">
        <x:v>TRF_PUKIS</x:v>
      </x:c>
      <x:c r="H108" s="20" t="str">
        <x:v>SOURCE_NORMALIZED</x:v>
      </x:c>
      <x:c r="I108" s="34" t="n">
        <x:v>0.7</x:v>
      </x:c>
      <x:c r="J108" s="20" t="str">
        <x:v>DRAFT</x:v>
      </x:c>
      <x:c r="K108" s="20" t="str"/>
      <x:c r="L108" s="20" t="str">
        <x:v>Connectivity node TRF_PUKIS transformer end-2 boundary node.</x:v>
      </x:c>
    </x:row>
    <x:row r="109">
      <x:c r="A109" s="20" t="str">
        <x:v>PRIMARY-GI-GILL-TRF_PUKIS-T1</x:v>
      </x:c>
      <x:c r="B109" s="20" t="str">
        <x:v>6dc22abe-ee0f-5c4f-8b5b-273f5fadc9f8</x:v>
      </x:c>
      <x:c r="C109" s="20" t="str">
        <x:v>Terminal</x:v>
      </x:c>
      <x:c r="D109" s="20" t="str">
        <x:v>1</x:v>
      </x:c>
      <x:c r="E109" s="20" t="str">
        <x:v>GI_GILL</x:v>
      </x:c>
      <x:c r="F109" s="20" t="str"/>
      <x:c r="G109" s="20" t="str"/>
      <x:c r="H109" s="20" t="str">
        <x:v>SOURCE_TOPOLOGY_EXPANDED</x:v>
      </x:c>
      <x:c r="I109" s="34" t="n">
        <x:v>0.85</x:v>
      </x:c>
      <x:c r="J109" s="20" t="str">
        <x:v>DRAFT</x:v>
      </x:c>
      <x:c r="K109" s="20" t="str"/>
      <x:c r="L109" s="20" t="str">
        <x:v>Terminal 1 of TRAFO PUKIS</x:v>
      </x:c>
    </x:row>
    <x:row r="110">
      <x:c r="A110" s="20" t="str">
        <x:v>PRIMARY-GI-GILL-TRF_PUKIS-T2</x:v>
      </x:c>
      <x:c r="B110" s="20" t="str">
        <x:v>3a8ecdaa-3848-52b6-a40c-5446f7f5a3b8</x:v>
      </x:c>
      <x:c r="C110" s="20" t="str">
        <x:v>Terminal</x:v>
      </x:c>
      <x:c r="D110" s="20" t="str">
        <x:v>2</x:v>
      </x:c>
      <x:c r="E110" s="20" t="str">
        <x:v>GI_GILL</x:v>
      </x:c>
      <x:c r="F110" s="20" t="str"/>
      <x:c r="G110" s="20" t="str"/>
      <x:c r="H110" s="20" t="str">
        <x:v>SOURCE_NORMALIZED</x:v>
      </x:c>
      <x:c r="I110" s="34" t="n">
        <x:v>0.8</x:v>
      </x:c>
      <x:c r="J110" s="20" t="str">
        <x:v>DRAFT</x:v>
      </x:c>
      <x:c r="K110" s="20" t="str"/>
      <x:c r="L110" s="20" t="str">
        <x:v>Terminal 2 of TRAFO PUKIS</x:v>
      </x:c>
    </x:row>
    <x:row r="111">
      <x:c r="A111" s="20" t="str">
        <x:v>GI-GILL-TRF_PUKIS-END-1</x:v>
      </x:c>
      <x:c r="B111" s="20" t="str">
        <x:v>5e6e5b16-429e-5bc2-920b-ccc7ffbc9472</x:v>
      </x:c>
      <x:c r="C111" s="20" t="str">
        <x:v>PowerTransformerEnd</x:v>
      </x:c>
      <x:c r="D111" s="20" t="str">
        <x:v>TRAFO PUKIS END 1</x:v>
      </x:c>
      <x:c r="E111" s="20" t="str">
        <x:v>GI_GILL</x:v>
      </x:c>
      <x:c r="F111" s="20" t="n">
        <x:v>150</x:v>
      </x:c>
      <x:c r="G111" s="20" t="str">
        <x:v>TRF_PUKIS</x:v>
      </x:c>
      <x:c r="H111" s="20" t="str">
        <x:v>SOURCE_NORMALIZED</x:v>
      </x:c>
      <x:c r="I111" s="34" t="n">
        <x:v>0.9</x:v>
      </x:c>
      <x:c r="J111" s="20" t="str">
        <x:v>DRAFT</x:v>
      </x:c>
      <x:c r="K111" s="20" t="str">
        <x:v>c2f427af-b4f7-470c-ac66-e16a3b512f8f</x:v>
      </x:c>
      <x:c r="L111" s="20" t="str">
        <x:v>Transformer end 1 retained from source sample.</x:v>
      </x:c>
    </x:row>
    <x:row r="112">
      <x:c r="A112" s="20" t="str">
        <x:v>GI-GILL-TRF_PUKIS-END-2</x:v>
      </x:c>
      <x:c r="B112" s="20" t="str">
        <x:v>bca87bdf-7f55-5547-92da-595daae060ea</x:v>
      </x:c>
      <x:c r="C112" s="20" t="str">
        <x:v>PowerTransformerEnd</x:v>
      </x:c>
      <x:c r="D112" s="20" t="str">
        <x:v>TRAFO PUKIS END 2</x:v>
      </x:c>
      <x:c r="E112" s="20" t="str">
        <x:v>GI_GILL</x:v>
      </x:c>
      <x:c r="F112" s="20" t="n">
        <x:v>150</x:v>
      </x:c>
      <x:c r="G112" s="20" t="str">
        <x:v>TRF_PUKIS</x:v>
      </x:c>
      <x:c r="H112" s="20" t="str">
        <x:v>SOURCE_NORMALIZED</x:v>
      </x:c>
      <x:c r="I112" s="34" t="n">
        <x:v>0.9</x:v>
      </x:c>
      <x:c r="J112" s="20" t="str">
        <x:v>DRAFT</x:v>
      </x:c>
      <x:c r="K112" s="20" t="str">
        <x:v>95bb0a0f-0dfe-4eb9-a028-cafd8f6c88c0</x:v>
      </x:c>
      <x:c r="L112" s="20" t="str">
        <x:v>Transformer end 2 retained from source sample.</x:v>
      </x:c>
    </x:row>
    <x:row r="113">
      <x:c r="A113" s="20" t="str">
        <x:v>GI-GILL-150-BAY-LINE_PUKIS</x:v>
      </x:c>
      <x:c r="B113" s="20" t="str">
        <x:v>a3c607df-8866-54fd-a3c8-48bd989bf792</x:v>
      </x:c>
      <x:c r="C113" s="20" t="str">
        <x:v>Bay</x:v>
      </x:c>
      <x:c r="D113" s="20" t="str">
        <x:v>BAY LINE PUKIS</x:v>
      </x:c>
      <x:c r="E113" s="20" t="str">
        <x:v>GI_GILL</x:v>
      </x:c>
      <x:c r="F113" s="20" t="n">
        <x:v>150</x:v>
      </x:c>
      <x:c r="G113" s="20" t="str">
        <x:v>LINE_PUKIS</x:v>
      </x:c>
      <x:c r="H113" s="20" t="str">
        <x:v>SOURCE_DERIVED</x:v>
      </x:c>
      <x:c r="I113" s="34" t="n">
        <x:v>0.85</x:v>
      </x:c>
      <x:c r="J113" s="20" t="str">
        <x:v>DRAFT</x:v>
      </x:c>
      <x:c r="K113" s="20" t="str">
        <x:v>d4e4667a-800d-4b3c-a4c7-39086563ea56</x:v>
      </x:c>
      <x:c r="L113" s="20" t="str">
        <x:v>Canonical single-bus bay for LINE PUKIS.</x:v>
      </x:c>
    </x:row>
    <x:row r="114">
      <x:c r="A114" s="20" t="str">
        <x:v>CN-GI-GILL-LINE_PUKIS-DS-CB</x:v>
      </x:c>
      <x:c r="B114" s="20" t="str">
        <x:v>5679169c-4cc8-5991-b368-ecaaf5add3e6</x:v>
      </x:c>
      <x:c r="C114" s="20" t="str">
        <x:v>ConnectivityNode</x:v>
      </x:c>
      <x:c r="D114" s="20" t="str">
        <x:v>LINE_PUKIS DS-to-CB node</x:v>
      </x:c>
      <x:c r="E114" s="20" t="str">
        <x:v>GI_GILL</x:v>
      </x:c>
      <x:c r="F114" s="20" t="n">
        <x:v>150</x:v>
      </x:c>
      <x:c r="G114" s="20" t="str">
        <x:v>LINE_PUKIS</x:v>
      </x:c>
      <x:c r="H114" s="20" t="str">
        <x:v>ASSUMED</x:v>
      </x:c>
      <x:c r="I114" s="34" t="n">
        <x:v>0.7</x:v>
      </x:c>
      <x:c r="J114" s="20" t="str">
        <x:v>DRAFT</x:v>
      </x:c>
      <x:c r="K114" s="20" t="str"/>
      <x:c r="L114" s="20" t="str">
        <x:v>Connectivity node LINE_PUKIS DS-to-CB node.</x:v>
      </x:c>
    </x:row>
    <x:row r="115">
      <x:c r="A115" s="20" t="str">
        <x:v>CN-GI-GILL-LINE_PUKIS-CB-DS</x:v>
      </x:c>
      <x:c r="B115" s="20" t="str">
        <x:v>4a86d4c8-164d-523a-9acc-ff1dfc531c19</x:v>
      </x:c>
      <x:c r="C115" s="20" t="str">
        <x:v>ConnectivityNode</x:v>
      </x:c>
      <x:c r="D115" s="20" t="str">
        <x:v>LINE_PUKIS CB-to-DS node</x:v>
      </x:c>
      <x:c r="E115" s="20" t="str">
        <x:v>GI_GILL</x:v>
      </x:c>
      <x:c r="F115" s="20" t="n">
        <x:v>150</x:v>
      </x:c>
      <x:c r="G115" s="20" t="str">
        <x:v>LINE_PUKIS</x:v>
      </x:c>
      <x:c r="H115" s="20" t="str">
        <x:v>ASSUMED</x:v>
      </x:c>
      <x:c r="I115" s="34" t="n">
        <x:v>0.7</x:v>
      </x:c>
      <x:c r="J115" s="20" t="str">
        <x:v>DRAFT</x:v>
      </x:c>
      <x:c r="K115" s="20" t="str"/>
      <x:c r="L115" s="20" t="str">
        <x:v>Connectivity node LINE_PUKIS CB-to-DS node.</x:v>
      </x:c>
    </x:row>
    <x:row r="116">
      <x:c r="A116" s="20" t="str">
        <x:v>CN-GI-GILL-LINE_PUKIS-EQ</x:v>
      </x:c>
      <x:c r="B116" s="20" t="str">
        <x:v>70ed74ea-1147-53bd-8b0d-628d9afe8609</x:v>
      </x:c>
      <x:c r="C116" s="20" t="str">
        <x:v>ConnectivityNode</x:v>
      </x:c>
      <x:c r="D116" s="20" t="str">
        <x:v>LINE_PUKIS equipment terminal node</x:v>
      </x:c>
      <x:c r="E116" s="20" t="str">
        <x:v>GI_GILL</x:v>
      </x:c>
      <x:c r="F116" s="20" t="n">
        <x:v>150</x:v>
      </x:c>
      <x:c r="G116" s="20" t="str">
        <x:v>LINE_PUKIS</x:v>
      </x:c>
      <x:c r="H116" s="20" t="str">
        <x:v>SOURCE_TOPOLOGY_EXPANDED</x:v>
      </x:c>
      <x:c r="I116" s="34" t="n">
        <x:v>0.8</x:v>
      </x:c>
      <x:c r="J116" s="20" t="str">
        <x:v>DRAFT</x:v>
      </x:c>
      <x:c r="K116" s="20" t="str"/>
      <x:c r="L116" s="20" t="str">
        <x:v>Connectivity node LINE_PUKIS equipment terminal node.</x:v>
      </x:c>
    </x:row>
    <x:row r="117">
      <x:c r="A117" s="20" t="str">
        <x:v>GI-GILL-150-LINE_PUKIS-DS-BUS</x:v>
      </x:c>
      <x:c r="B117" s="20" t="str">
        <x:v>4d1d859f-7c5b-5b10-98a7-1d37ab3b9a6a</x:v>
      </x:c>
      <x:c r="C117" s="20" t="str">
        <x:v>Disconnector</x:v>
      </x:c>
      <x:c r="D117" s="20" t="str">
        <x:v>DS BUS LINE PUKIS</x:v>
      </x:c>
      <x:c r="E117" s="20" t="str">
        <x:v>GI_GILL</x:v>
      </x:c>
      <x:c r="F117" s="20" t="n">
        <x:v>150</x:v>
      </x:c>
      <x:c r="G117" s="20" t="str">
        <x:v>LINE_PUKIS</x:v>
      </x:c>
      <x:c r="H117" s="20" t="str">
        <x:v>ASSUMED</x:v>
      </x:c>
      <x:c r="I117" s="34" t="n">
        <x:v>0.7</x:v>
      </x:c>
      <x:c r="J117" s="20" t="str">
        <x:v>DRAFT</x:v>
      </x:c>
      <x:c r="K117" s="20" t="str"/>
      <x:c r="L117" s="20" t="str">
        <x:v>DS BUS LINE PUKIS in LINE_PUKIS bay.</x:v>
      </x:c>
    </x:row>
    <x:row r="118">
      <x:c r="A118" s="20" t="str">
        <x:v>DS-GI-GILL-LINE_PUKIS-BUS-T1</x:v>
      </x:c>
      <x:c r="B118" s="20" t="str">
        <x:v>396196cd-1f1b-5dff-a7c5-0366098f48de</x:v>
      </x:c>
      <x:c r="C118" s="20" t="str">
        <x:v>Terminal</x:v>
      </x:c>
      <x:c r="D118" s="20" t="str">
        <x:v>1</x:v>
      </x:c>
      <x:c r="E118" s="20" t="str">
        <x:v>GI_GILL</x:v>
      </x:c>
      <x:c r="F118" s="20" t="str"/>
      <x:c r="G118" s="20" t="str"/>
      <x:c r="H118" s="20" t="str">
        <x:v>ASSUMED</x:v>
      </x:c>
      <x:c r="I118" s="34" t="n">
        <x:v>0.7</x:v>
      </x:c>
      <x:c r="J118" s="20" t="str">
        <x:v>DRAFT</x:v>
      </x:c>
      <x:c r="K118" s="20" t="str"/>
      <x:c r="L118" s="20" t="str">
        <x:v>Terminal 1 of DS BUS LINE PUKIS</x:v>
      </x:c>
    </x:row>
    <x:row r="119">
      <x:c r="A119" s="20" t="str">
        <x:v>DS-GI-GILL-LINE_PUKIS-BUS-T2</x:v>
      </x:c>
      <x:c r="B119" s="20" t="str">
        <x:v>fba26926-c7a7-5dba-9369-ea26da216877</x:v>
      </x:c>
      <x:c r="C119" s="20" t="str">
        <x:v>Terminal</x:v>
      </x:c>
      <x:c r="D119" s="20" t="str">
        <x:v>2</x:v>
      </x:c>
      <x:c r="E119" s="20" t="str">
        <x:v>GI_GILL</x:v>
      </x:c>
      <x:c r="F119" s="20" t="str"/>
      <x:c r="G119" s="20" t="str"/>
      <x:c r="H119" s="20" t="str">
        <x:v>ASSUMED</x:v>
      </x:c>
      <x:c r="I119" s="34" t="n">
        <x:v>0.7</x:v>
      </x:c>
      <x:c r="J119" s="20" t="str">
        <x:v>DRAFT</x:v>
      </x:c>
      <x:c r="K119" s="20" t="str"/>
      <x:c r="L119" s="20" t="str">
        <x:v>Terminal 2 of DS BUS LINE PUKIS</x:v>
      </x:c>
    </x:row>
    <x:row r="120">
      <x:c r="A120" s="20" t="str">
        <x:v>GI-GILL-150-LINE_PUKIS-CB</x:v>
      </x:c>
      <x:c r="B120" s="20" t="str">
        <x:v>af3cf5b6-4d38-5378-8c46-b9ef2d70db15</x:v>
      </x:c>
      <x:c r="C120" s="20" t="str">
        <x:v>Breaker</x:v>
      </x:c>
      <x:c r="D120" s="20" t="str">
        <x:v>CB LINE PUKIS</x:v>
      </x:c>
      <x:c r="E120" s="20" t="str">
        <x:v>GI_GILL</x:v>
      </x:c>
      <x:c r="F120" s="20" t="n">
        <x:v>150</x:v>
      </x:c>
      <x:c r="G120" s="20" t="str">
        <x:v>LINE_PUKIS</x:v>
      </x:c>
      <x:c r="H120" s="20" t="str">
        <x:v>ASSUMED</x:v>
      </x:c>
      <x:c r="I120" s="34" t="n">
        <x:v>0.72</x:v>
      </x:c>
      <x:c r="J120" s="20" t="str">
        <x:v>DRAFT</x:v>
      </x:c>
      <x:c r="K120" s="20" t="str"/>
      <x:c r="L120" s="20" t="str">
        <x:v>CB LINE PUKIS in LINE_PUKIS bay.</x:v>
      </x:c>
    </x:row>
    <x:row r="121">
      <x:c r="A121" s="20" t="str">
        <x:v>CB-GI-GILL-LINE_PUKIS-T1</x:v>
      </x:c>
      <x:c r="B121" s="20" t="str">
        <x:v>b21a9609-064d-5e77-8804-d7a71360e901</x:v>
      </x:c>
      <x:c r="C121" s="20" t="str">
        <x:v>Terminal</x:v>
      </x:c>
      <x:c r="D121" s="20" t="str">
        <x:v>1</x:v>
      </x:c>
      <x:c r="E121" s="20" t="str">
        <x:v>GI_GILL</x:v>
      </x:c>
      <x:c r="F121" s="20" t="str"/>
      <x:c r="G121" s="20" t="str"/>
      <x:c r="H121" s="20" t="str">
        <x:v>ASSUMED</x:v>
      </x:c>
      <x:c r="I121" s="34" t="n">
        <x:v>0.72</x:v>
      </x:c>
      <x:c r="J121" s="20" t="str">
        <x:v>DRAFT</x:v>
      </x:c>
      <x:c r="K121" s="20" t="str"/>
      <x:c r="L121" s="20" t="str">
        <x:v>Terminal 1 of CB LINE PUKIS</x:v>
      </x:c>
    </x:row>
    <x:row r="122">
      <x:c r="A122" s="20" t="str">
        <x:v>CB-GI-GILL-LINE_PUKIS-T2</x:v>
      </x:c>
      <x:c r="B122" s="20" t="str">
        <x:v>ad21dc7e-30be-5674-88d1-6b5a670fdab2</x:v>
      </x:c>
      <x:c r="C122" s="20" t="str">
        <x:v>Terminal</x:v>
      </x:c>
      <x:c r="D122" s="20" t="str">
        <x:v>2</x:v>
      </x:c>
      <x:c r="E122" s="20" t="str">
        <x:v>GI_GILL</x:v>
      </x:c>
      <x:c r="F122" s="20" t="str"/>
      <x:c r="G122" s="20" t="str"/>
      <x:c r="H122" s="20" t="str">
        <x:v>ASSUMED</x:v>
      </x:c>
      <x:c r="I122" s="34" t="n">
        <x:v>0.72</x:v>
      </x:c>
      <x:c r="J122" s="20" t="str">
        <x:v>DRAFT</x:v>
      </x:c>
      <x:c r="K122" s="20" t="str"/>
      <x:c r="L122" s="20" t="str">
        <x:v>Terminal 2 of CB LINE PUKIS</x:v>
      </x:c>
    </x:row>
    <x:row r="123">
      <x:c r="A123" s="20" t="str">
        <x:v>GI-GILL-150-LINE_PUKIS-DS-EQ</x:v>
      </x:c>
      <x:c r="B123" s="20" t="str">
        <x:v>0c876842-c0a1-5188-93e9-ca197dd2ffc3</x:v>
      </x:c>
      <x:c r="C123" s="20" t="str">
        <x:v>Disconnector</x:v>
      </x:c>
      <x:c r="D123" s="20" t="str">
        <x:v>DS EQUIPMENT LINE PUKIS</x:v>
      </x:c>
      <x:c r="E123" s="20" t="str">
        <x:v>GI_GILL</x:v>
      </x:c>
      <x:c r="F123" s="20" t="n">
        <x:v>150</x:v>
      </x:c>
      <x:c r="G123" s="20" t="str">
        <x:v>LINE_PUKIS</x:v>
      </x:c>
      <x:c r="H123" s="20" t="str">
        <x:v>ASSUMED</x:v>
      </x:c>
      <x:c r="I123" s="34" t="n">
        <x:v>0.7</x:v>
      </x:c>
      <x:c r="J123" s="20" t="str">
        <x:v>DRAFT</x:v>
      </x:c>
      <x:c r="K123" s="20" t="str"/>
      <x:c r="L123" s="20" t="str">
        <x:v>DS EQUIPMENT LINE PUKIS in LINE_PUKIS bay.</x:v>
      </x:c>
    </x:row>
    <x:row r="124">
      <x:c r="A124" s="20" t="str">
        <x:v>DS-GI-GILL-LINE_PUKIS-EQ-T1</x:v>
      </x:c>
      <x:c r="B124" s="20" t="str">
        <x:v>4acd8379-72e0-5435-976a-11a4fa6a7f3f</x:v>
      </x:c>
      <x:c r="C124" s="20" t="str">
        <x:v>Terminal</x:v>
      </x:c>
      <x:c r="D124" s="20" t="str">
        <x:v>1</x:v>
      </x:c>
      <x:c r="E124" s="20" t="str">
        <x:v>GI_GILL</x:v>
      </x:c>
      <x:c r="F124" s="20" t="str"/>
      <x:c r="G124" s="20" t="str"/>
      <x:c r="H124" s="20" t="str">
        <x:v>ASSUMED</x:v>
      </x:c>
      <x:c r="I124" s="34" t="n">
        <x:v>0.7</x:v>
      </x:c>
      <x:c r="J124" s="20" t="str">
        <x:v>DRAFT</x:v>
      </x:c>
      <x:c r="K124" s="20" t="str"/>
      <x:c r="L124" s="20" t="str">
        <x:v>Terminal 1 of DS EQUIPMENT LINE PUKIS</x:v>
      </x:c>
    </x:row>
    <x:row r="125">
      <x:c r="A125" s="20" t="str">
        <x:v>DS-GI-GILL-LINE_PUKIS-EQ-T2</x:v>
      </x:c>
      <x:c r="B125" s="20" t="str">
        <x:v>95201d70-67ab-5fca-b8d1-313b0b972e67</x:v>
      </x:c>
      <x:c r="C125" s="20" t="str">
        <x:v>Terminal</x:v>
      </x:c>
      <x:c r="D125" s="20" t="str">
        <x:v>2</x:v>
      </x:c>
      <x:c r="E125" s="20" t="str">
        <x:v>GI_GILL</x:v>
      </x:c>
      <x:c r="F125" s="20" t="str"/>
      <x:c r="G125" s="20" t="str"/>
      <x:c r="H125" s="20" t="str">
        <x:v>ASSUMED</x:v>
      </x:c>
      <x:c r="I125" s="34" t="n">
        <x:v>0.7</x:v>
      </x:c>
      <x:c r="J125" s="20" t="str">
        <x:v>DRAFT</x:v>
      </x:c>
      <x:c r="K125" s="20" t="str"/>
      <x:c r="L125" s="20" t="str">
        <x:v>Terminal 2 of DS EQUIPMENT LINE PUKIS</x:v>
      </x:c>
    </x:row>
    <x:row r="126">
      <x:c r="A126" s="20" t="str">
        <x:v>GI-GILL-150-LINE_PUKIS</x:v>
      </x:c>
      <x:c r="B126" s="20" t="str">
        <x:v>ca198929-15f8-566d-9285-d7029f294614</x:v>
      </x:c>
      <x:c r="C126" s="20" t="str">
        <x:v>ACLineSegment</x:v>
      </x:c>
      <x:c r="D126" s="20" t="str">
        <x:v>LINE PUKIS</x:v>
      </x:c>
      <x:c r="E126" s="20" t="str">
        <x:v>GI_GILL</x:v>
      </x:c>
      <x:c r="F126" s="20" t="n">
        <x:v>150</x:v>
      </x:c>
      <x:c r="G126" s="20" t="str">
        <x:v>LINE_PUKIS</x:v>
      </x:c>
      <x:c r="H126" s="20" t="str">
        <x:v>SOURCE_NORMALIZED</x:v>
      </x:c>
      <x:c r="I126" s="34" t="n">
        <x:v>0.9</x:v>
      </x:c>
      <x:c r="J126" s="20" t="str">
        <x:v>DRAFT</x:v>
      </x:c>
      <x:c r="K126" s="20" t="str">
        <x:v>d4e4667a-800d-4b3c-a4c7-39086563ea56</x:v>
      </x:c>
      <x:c r="L126" s="20" t="str">
        <x:v>Canonical ACLineSegment for LINE PUKIS. Source line r/x/b/g and length are retained as sample values.</x:v>
      </x:c>
    </x:row>
    <x:row r="127">
      <x:c r="A127" s="20" t="str">
        <x:v>CN-GI-GILL-LINE_PUKIS-BOUNDARY</x:v>
      </x:c>
      <x:c r="B127" s="20" t="str">
        <x:v>c3a93958-1196-5ae7-aec2-ee56e547f4e7</x:v>
      </x:c>
      <x:c r="C127" s="20" t="str">
        <x:v>ConnectivityNode</x:v>
      </x:c>
      <x:c r="D127" s="20" t="str">
        <x:v>LINE_PUKIS remote boundary node</x:v>
      </x:c>
      <x:c r="E127" s="20" t="str">
        <x:v>GI_GILL</x:v>
      </x:c>
      <x:c r="F127" s="20" t="n">
        <x:v>150</x:v>
      </x:c>
      <x:c r="G127" s="20" t="str">
        <x:v>LINE_PUKIS</x:v>
      </x:c>
      <x:c r="H127" s="20" t="str">
        <x:v>SOURCE_NORMALIZED</x:v>
      </x:c>
      <x:c r="I127" s="34" t="n">
        <x:v>0.9</x:v>
      </x:c>
      <x:c r="J127" s="20" t="str">
        <x:v>DRAFT</x:v>
      </x:c>
      <x:c r="K127" s="20" t="str"/>
      <x:c r="L127" s="20" t="str">
        <x:v>Connectivity node LINE_PUKIS remote boundary node.</x:v>
      </x:c>
    </x:row>
    <x:row r="128">
      <x:c r="A128" s="20" t="str">
        <x:v>PRIMARY-GI-GILL-LINE_PUKIS-T1</x:v>
      </x:c>
      <x:c r="B128" s="20" t="str">
        <x:v>b231fc3b-f46c-532d-a3f4-1688df5dbe3d</x:v>
      </x:c>
      <x:c r="C128" s="20" t="str">
        <x:v>Terminal</x:v>
      </x:c>
      <x:c r="D128" s="20" t="str">
        <x:v>1</x:v>
      </x:c>
      <x:c r="E128" s="20" t="str">
        <x:v>GI_GILL</x:v>
      </x:c>
      <x:c r="F128" s="20" t="str"/>
      <x:c r="G128" s="20" t="str"/>
      <x:c r="H128" s="20" t="str">
        <x:v>SOURCE_TOPOLOGY_EXPANDED</x:v>
      </x:c>
      <x:c r="I128" s="34" t="n">
        <x:v>0.85</x:v>
      </x:c>
      <x:c r="J128" s="20" t="str">
        <x:v>DRAFT</x:v>
      </x:c>
      <x:c r="K128" s="20" t="str"/>
      <x:c r="L128" s="20" t="str">
        <x:v>Terminal 1 of LINE PUKIS</x:v>
      </x:c>
    </x:row>
    <x:row r="129">
      <x:c r="A129" s="20" t="str">
        <x:v>PRIMARY-GI-GILL-LINE_PUKIS-T2</x:v>
      </x:c>
      <x:c r="B129" s="20" t="str">
        <x:v>6218f5c4-bee7-52d4-8e43-d6964cc58a4b</x:v>
      </x:c>
      <x:c r="C129" s="20" t="str">
        <x:v>Terminal</x:v>
      </x:c>
      <x:c r="D129" s="20" t="str">
        <x:v>2</x:v>
      </x:c>
      <x:c r="E129" s="20" t="str">
        <x:v>GI_GILL</x:v>
      </x:c>
      <x:c r="F129" s="20" t="str"/>
      <x:c r="G129" s="20" t="str"/>
      <x:c r="H129" s="20" t="str">
        <x:v>SOURCE_NORMALIZED</x:v>
      </x:c>
      <x:c r="I129" s="34" t="n">
        <x:v>0.9</x:v>
      </x:c>
      <x:c r="J129" s="20" t="str">
        <x:v>DRAFT</x:v>
      </x:c>
      <x:c r="K129" s="20" t="str"/>
      <x:c r="L129" s="20" t="str">
        <x:v>Terminal 2 of LINE PUKIS</x:v>
      </x:c>
    </x:row>
    <x:row r="130">
      <x:c r="A130" s="20" t="str">
        <x:v>GI-GILL-150-BAY-LOAD_PUKIS1</x:v>
      </x:c>
      <x:c r="B130" s="20" t="str">
        <x:v>af76dec9-c01d-5b01-a24b-75de98137319</x:v>
      </x:c>
      <x:c r="C130" s="20" t="str">
        <x:v>Bay</x:v>
      </x:c>
      <x:c r="D130" s="20" t="str">
        <x:v>BAY LOAD PUKIS 1</x:v>
      </x:c>
      <x:c r="E130" s="20" t="str">
        <x:v>GI_GILL</x:v>
      </x:c>
      <x:c r="F130" s="20" t="n">
        <x:v>150</x:v>
      </x:c>
      <x:c r="G130" s="20" t="str">
        <x:v>LOAD_PUKIS1</x:v>
      </x:c>
      <x:c r="H130" s="20" t="str">
        <x:v>SOURCE_DERIVED</x:v>
      </x:c>
      <x:c r="I130" s="34" t="n">
        <x:v>0.85</x:v>
      </x:c>
      <x:c r="J130" s="20" t="str">
        <x:v>DRAFT</x:v>
      </x:c>
      <x:c r="K130" s="20" t="str">
        <x:v>064497e7-05e6-49f9-8292-98b542f72cb0</x:v>
      </x:c>
      <x:c r="L130" s="20" t="str">
        <x:v>Canonical single-bus bay for LOAD PUKIS 1.</x:v>
      </x:c>
    </x:row>
    <x:row r="131">
      <x:c r="A131" s="20" t="str">
        <x:v>CN-GI-GILL-LOAD_PUKIS1-DS-CB</x:v>
      </x:c>
      <x:c r="B131" s="20" t="str">
        <x:v>1fe0c297-04d6-565b-b8f0-31a0545f1478</x:v>
      </x:c>
      <x:c r="C131" s="20" t="str">
        <x:v>ConnectivityNode</x:v>
      </x:c>
      <x:c r="D131" s="20" t="str">
        <x:v>LOAD_PUKIS1 DS-to-CB node</x:v>
      </x:c>
      <x:c r="E131" s="20" t="str">
        <x:v>GI_GILL</x:v>
      </x:c>
      <x:c r="F131" s="20" t="n">
        <x:v>150</x:v>
      </x:c>
      <x:c r="G131" s="20" t="str">
        <x:v>LOAD_PUKIS1</x:v>
      </x:c>
      <x:c r="H131" s="20" t="str">
        <x:v>ASSUMED</x:v>
      </x:c>
      <x:c r="I131" s="34" t="n">
        <x:v>0.7</x:v>
      </x:c>
      <x:c r="J131" s="20" t="str">
        <x:v>DRAFT</x:v>
      </x:c>
      <x:c r="K131" s="20" t="str"/>
      <x:c r="L131" s="20" t="str">
        <x:v>Connectivity node LOAD_PUKIS1 DS-to-CB node.</x:v>
      </x:c>
    </x:row>
    <x:row r="132">
      <x:c r="A132" s="20" t="str">
        <x:v>CN-GI-GILL-LOAD_PUKIS1-CB-DS</x:v>
      </x:c>
      <x:c r="B132" s="20" t="str">
        <x:v>6a97cafd-9979-55fc-b110-bfaa275b470f</x:v>
      </x:c>
      <x:c r="C132" s="20" t="str">
        <x:v>ConnectivityNode</x:v>
      </x:c>
      <x:c r="D132" s="20" t="str">
        <x:v>LOAD_PUKIS1 CB-to-DS node</x:v>
      </x:c>
      <x:c r="E132" s="20" t="str">
        <x:v>GI_GILL</x:v>
      </x:c>
      <x:c r="F132" s="20" t="n">
        <x:v>150</x:v>
      </x:c>
      <x:c r="G132" s="20" t="str">
        <x:v>LOAD_PUKIS1</x:v>
      </x:c>
      <x:c r="H132" s="20" t="str">
        <x:v>ASSUMED</x:v>
      </x:c>
      <x:c r="I132" s="34" t="n">
        <x:v>0.7</x:v>
      </x:c>
      <x:c r="J132" s="20" t="str">
        <x:v>DRAFT</x:v>
      </x:c>
      <x:c r="K132" s="20" t="str"/>
      <x:c r="L132" s="20" t="str">
        <x:v>Connectivity node LOAD_PUKIS1 CB-to-DS node.</x:v>
      </x:c>
    </x:row>
    <x:row r="133">
      <x:c r="A133" s="20" t="str">
        <x:v>CN-GI-GILL-LOAD_PUKIS1-EQ</x:v>
      </x:c>
      <x:c r="B133" s="20" t="str">
        <x:v>b745ddbe-f98c-5caf-93e9-add6d96393be</x:v>
      </x:c>
      <x:c r="C133" s="20" t="str">
        <x:v>ConnectivityNode</x:v>
      </x:c>
      <x:c r="D133" s="20" t="str">
        <x:v>LOAD_PUKIS1 equipment terminal node</x:v>
      </x:c>
      <x:c r="E133" s="20" t="str">
        <x:v>GI_GILL</x:v>
      </x:c>
      <x:c r="F133" s="20" t="n">
        <x:v>150</x:v>
      </x:c>
      <x:c r="G133" s="20" t="str">
        <x:v>LOAD_PUKIS1</x:v>
      </x:c>
      <x:c r="H133" s="20" t="str">
        <x:v>SOURCE_TOPOLOGY_EXPANDED</x:v>
      </x:c>
      <x:c r="I133" s="34" t="n">
        <x:v>0.8</x:v>
      </x:c>
      <x:c r="J133" s="20" t="str">
        <x:v>DRAFT</x:v>
      </x:c>
      <x:c r="K133" s="20" t="str"/>
      <x:c r="L133" s="20" t="str">
        <x:v>Connectivity node LOAD_PUKIS1 equipment terminal node.</x:v>
      </x:c>
    </x:row>
    <x:row r="134">
      <x:c r="A134" s="20" t="str">
        <x:v>GI-GILL-150-LOAD_PUKIS1-DS-BUS</x:v>
      </x:c>
      <x:c r="B134" s="20" t="str">
        <x:v>a3923f15-492c-5e04-a354-c849adcca78a</x:v>
      </x:c>
      <x:c r="C134" s="20" t="str">
        <x:v>Disconnector</x:v>
      </x:c>
      <x:c r="D134" s="20" t="str">
        <x:v>DS BUS LOAD PUKIS 1</x:v>
      </x:c>
      <x:c r="E134" s="20" t="str">
        <x:v>GI_GILL</x:v>
      </x:c>
      <x:c r="F134" s="20" t="n">
        <x:v>150</x:v>
      </x:c>
      <x:c r="G134" s="20" t="str">
        <x:v>LOAD_PUKIS1</x:v>
      </x:c>
      <x:c r="H134" s="20" t="str">
        <x:v>ASSUMED</x:v>
      </x:c>
      <x:c r="I134" s="34" t="n">
        <x:v>0.7</x:v>
      </x:c>
      <x:c r="J134" s="20" t="str">
        <x:v>DRAFT</x:v>
      </x:c>
      <x:c r="K134" s="20" t="str"/>
      <x:c r="L134" s="20" t="str">
        <x:v>DS BUS LOAD PUKIS 1 in LOAD_PUKIS1 bay.</x:v>
      </x:c>
    </x:row>
    <x:row r="135">
      <x:c r="A135" s="20" t="str">
        <x:v>DS-GI-GILL-LOAD_PUKIS1-BUS-T1</x:v>
      </x:c>
      <x:c r="B135" s="20" t="str">
        <x:v>363182f0-1adb-58c4-8e2d-c0d8b023d69b</x:v>
      </x:c>
      <x:c r="C135" s="20" t="str">
        <x:v>Terminal</x:v>
      </x:c>
      <x:c r="D135" s="20" t="str">
        <x:v>1</x:v>
      </x:c>
      <x:c r="E135" s="20" t="str">
        <x:v>GI_GILL</x:v>
      </x:c>
      <x:c r="F135" s="20" t="str"/>
      <x:c r="G135" s="20" t="str"/>
      <x:c r="H135" s="20" t="str">
        <x:v>ASSUMED</x:v>
      </x:c>
      <x:c r="I135" s="34" t="n">
        <x:v>0.7</x:v>
      </x:c>
      <x:c r="J135" s="20" t="str">
        <x:v>DRAFT</x:v>
      </x:c>
      <x:c r="K135" s="20" t="str"/>
      <x:c r="L135" s="20" t="str">
        <x:v>Terminal 1 of DS BUS LOAD PUKIS 1</x:v>
      </x:c>
    </x:row>
    <x:row r="136">
      <x:c r="A136" s="20" t="str">
        <x:v>DS-GI-GILL-LOAD_PUKIS1-BUS-T2</x:v>
      </x:c>
      <x:c r="B136" s="20" t="str">
        <x:v>77917fd4-8733-5615-ba4b-f61ac205a326</x:v>
      </x:c>
      <x:c r="C136" s="20" t="str">
        <x:v>Terminal</x:v>
      </x:c>
      <x:c r="D136" s="20" t="str">
        <x:v>2</x:v>
      </x:c>
      <x:c r="E136" s="20" t="str">
        <x:v>GI_GILL</x:v>
      </x:c>
      <x:c r="F136" s="20" t="str"/>
      <x:c r="G136" s="20" t="str"/>
      <x:c r="H136" s="20" t="str">
        <x:v>ASSUMED</x:v>
      </x:c>
      <x:c r="I136" s="34" t="n">
        <x:v>0.7</x:v>
      </x:c>
      <x:c r="J136" s="20" t="str">
        <x:v>DRAFT</x:v>
      </x:c>
      <x:c r="K136" s="20" t="str"/>
      <x:c r="L136" s="20" t="str">
        <x:v>Terminal 2 of DS BUS LOAD PUKIS 1</x:v>
      </x:c>
    </x:row>
    <x:row r="137">
      <x:c r="A137" s="20" t="str">
        <x:v>GI-GILL-150-LOAD_PUKIS1-CB</x:v>
      </x:c>
      <x:c r="B137" s="20" t="str">
        <x:v>a1c53f1b-3ca8-51d4-96e0-dcb9f227624e</x:v>
      </x:c>
      <x:c r="C137" s="20" t="str">
        <x:v>Breaker</x:v>
      </x:c>
      <x:c r="D137" s="20" t="str">
        <x:v>CB LOAD PUKIS 1</x:v>
      </x:c>
      <x:c r="E137" s="20" t="str">
        <x:v>GI_GILL</x:v>
      </x:c>
      <x:c r="F137" s="20" t="n">
        <x:v>150</x:v>
      </x:c>
      <x:c r="G137" s="20" t="str">
        <x:v>LOAD_PUKIS1</x:v>
      </x:c>
      <x:c r="H137" s="20" t="str">
        <x:v>ASSUMED</x:v>
      </x:c>
      <x:c r="I137" s="34" t="n">
        <x:v>0.72</x:v>
      </x:c>
      <x:c r="J137" s="20" t="str">
        <x:v>DRAFT</x:v>
      </x:c>
      <x:c r="K137" s="20" t="str"/>
      <x:c r="L137" s="20" t="str">
        <x:v>CB LOAD PUKIS 1 in LOAD_PUKIS1 bay.</x:v>
      </x:c>
    </x:row>
    <x:row r="138">
      <x:c r="A138" s="20" t="str">
        <x:v>CB-GI-GILL-LOAD_PUKIS1-T1</x:v>
      </x:c>
      <x:c r="B138" s="20" t="str">
        <x:v>b86d86e6-4f73-52ae-b8ee-b94397c0c8d5</x:v>
      </x:c>
      <x:c r="C138" s="20" t="str">
        <x:v>Terminal</x:v>
      </x:c>
      <x:c r="D138" s="20" t="str">
        <x:v>1</x:v>
      </x:c>
      <x:c r="E138" s="20" t="str">
        <x:v>GI_GILL</x:v>
      </x:c>
      <x:c r="F138" s="20" t="str"/>
      <x:c r="G138" s="20" t="str"/>
      <x:c r="H138" s="20" t="str">
        <x:v>ASSUMED</x:v>
      </x:c>
      <x:c r="I138" s="34" t="n">
        <x:v>0.72</x:v>
      </x:c>
      <x:c r="J138" s="20" t="str">
        <x:v>DRAFT</x:v>
      </x:c>
      <x:c r="K138" s="20" t="str"/>
      <x:c r="L138" s="20" t="str">
        <x:v>Terminal 1 of CB LOAD PUKIS 1</x:v>
      </x:c>
    </x:row>
    <x:row r="139">
      <x:c r="A139" s="20" t="str">
        <x:v>CB-GI-GILL-LOAD_PUKIS1-T2</x:v>
      </x:c>
      <x:c r="B139" s="20" t="str">
        <x:v>ccd852f4-0502-5444-b109-7758e60d353d</x:v>
      </x:c>
      <x:c r="C139" s="20" t="str">
        <x:v>Terminal</x:v>
      </x:c>
      <x:c r="D139" s="20" t="str">
        <x:v>2</x:v>
      </x:c>
      <x:c r="E139" s="20" t="str">
        <x:v>GI_GILL</x:v>
      </x:c>
      <x:c r="F139" s="20" t="str"/>
      <x:c r="G139" s="20" t="str"/>
      <x:c r="H139" s="20" t="str">
        <x:v>ASSUMED</x:v>
      </x:c>
      <x:c r="I139" s="34" t="n">
        <x:v>0.72</x:v>
      </x:c>
      <x:c r="J139" s="20" t="str">
        <x:v>DRAFT</x:v>
      </x:c>
      <x:c r="K139" s="20" t="str"/>
      <x:c r="L139" s="20" t="str">
        <x:v>Terminal 2 of CB LOAD PUKIS 1</x:v>
      </x:c>
    </x:row>
    <x:row r="140">
      <x:c r="A140" s="20" t="str">
        <x:v>GI-GILL-150-LOAD_PUKIS1-DS-EQ</x:v>
      </x:c>
      <x:c r="B140" s="20" t="str">
        <x:v>73bbc66e-0e1c-56ee-bc60-318312f13970</x:v>
      </x:c>
      <x:c r="C140" s="20" t="str">
        <x:v>Disconnector</x:v>
      </x:c>
      <x:c r="D140" s="20" t="str">
        <x:v>DS EQUIPMENT LOAD PUKIS 1</x:v>
      </x:c>
      <x:c r="E140" s="20" t="str">
        <x:v>GI_GILL</x:v>
      </x:c>
      <x:c r="F140" s="20" t="n">
        <x:v>150</x:v>
      </x:c>
      <x:c r="G140" s="20" t="str">
        <x:v>LOAD_PUKIS1</x:v>
      </x:c>
      <x:c r="H140" s="20" t="str">
        <x:v>ASSUMED</x:v>
      </x:c>
      <x:c r="I140" s="34" t="n">
        <x:v>0.7</x:v>
      </x:c>
      <x:c r="J140" s="20" t="str">
        <x:v>DRAFT</x:v>
      </x:c>
      <x:c r="K140" s="20" t="str"/>
      <x:c r="L140" s="20" t="str">
        <x:v>DS EQUIPMENT LOAD PUKIS 1 in LOAD_PUKIS1 bay.</x:v>
      </x:c>
    </x:row>
    <x:row r="141">
      <x:c r="A141" s="20" t="str">
        <x:v>DS-GI-GILL-LOAD_PUKIS1-EQ-T1</x:v>
      </x:c>
      <x:c r="B141" s="20" t="str">
        <x:v>6e8e845d-0a36-5652-85d7-07841630c8e5</x:v>
      </x:c>
      <x:c r="C141" s="20" t="str">
        <x:v>Terminal</x:v>
      </x:c>
      <x:c r="D141" s="20" t="str">
        <x:v>1</x:v>
      </x:c>
      <x:c r="E141" s="20" t="str">
        <x:v>GI_GILL</x:v>
      </x:c>
      <x:c r="F141" s="20" t="str"/>
      <x:c r="G141" s="20" t="str"/>
      <x:c r="H141" s="20" t="str">
        <x:v>ASSUMED</x:v>
      </x:c>
      <x:c r="I141" s="34" t="n">
        <x:v>0.7</x:v>
      </x:c>
      <x:c r="J141" s="20" t="str">
        <x:v>DRAFT</x:v>
      </x:c>
      <x:c r="K141" s="20" t="str"/>
      <x:c r="L141" s="20" t="str">
        <x:v>Terminal 1 of DS EQUIPMENT LOAD PUKIS 1</x:v>
      </x:c>
    </x:row>
    <x:row r="142">
      <x:c r="A142" s="20" t="str">
        <x:v>DS-GI-GILL-LOAD_PUKIS1-EQ-T2</x:v>
      </x:c>
      <x:c r="B142" s="20" t="str">
        <x:v>57a88fc1-4974-5ef5-9c53-197750273bfe</x:v>
      </x:c>
      <x:c r="C142" s="20" t="str">
        <x:v>Terminal</x:v>
      </x:c>
      <x:c r="D142" s="20" t="str">
        <x:v>2</x:v>
      </x:c>
      <x:c r="E142" s="20" t="str">
        <x:v>GI_GILL</x:v>
      </x:c>
      <x:c r="F142" s="20" t="str"/>
      <x:c r="G142" s="20" t="str"/>
      <x:c r="H142" s="20" t="str">
        <x:v>ASSUMED</x:v>
      </x:c>
      <x:c r="I142" s="34" t="n">
        <x:v>0.7</x:v>
      </x:c>
      <x:c r="J142" s="20" t="str">
        <x:v>DRAFT</x:v>
      </x:c>
      <x:c r="K142" s="20" t="str"/>
      <x:c r="L142" s="20" t="str">
        <x:v>Terminal 2 of DS EQUIPMENT LOAD PUKIS 1</x:v>
      </x:c>
    </x:row>
    <x:row r="143">
      <x:c r="A143" s="20" t="str">
        <x:v>GI-GILL-150-LOAD_PUKIS1</x:v>
      </x:c>
      <x:c r="B143" s="20" t="str">
        <x:v>1c24096f-d095-5a62-b096-4f93e8ac6fc2</x:v>
      </x:c>
      <x:c r="C143" s="20" t="str">
        <x:v>ConformLoad</x:v>
      </x:c>
      <x:c r="D143" s="20" t="str">
        <x:v>LOAD PUKIS 1</x:v>
      </x:c>
      <x:c r="E143" s="20" t="str">
        <x:v>GI_GILL</x:v>
      </x:c>
      <x:c r="F143" s="20" t="n">
        <x:v>150</x:v>
      </x:c>
      <x:c r="G143" s="20" t="str">
        <x:v>LOAD_PUKIS1</x:v>
      </x:c>
      <x:c r="H143" s="20" t="str">
        <x:v>SOURCE_NORMALIZED</x:v>
      </x:c>
      <x:c r="I143" s="34" t="n">
        <x:v>0.9</x:v>
      </x:c>
      <x:c r="J143" s="20" t="str">
        <x:v>DRAFT</x:v>
      </x:c>
      <x:c r="K143" s="20" t="str">
        <x:v>064497e7-05e6-49f9-8292-98b542f72cb0</x:v>
      </x:c>
      <x:c r="L143" s="20" t="str">
        <x:v>Canonical ConformLoad for LOAD PUKIS 1. Source fixed P and Q are retained.</x:v>
      </x:c>
    </x:row>
    <x:row r="144">
      <x:c r="A144" s="20" t="str">
        <x:v>PRIMARY-GI-GILL-LOAD_PUKIS1-T1</x:v>
      </x:c>
      <x:c r="B144" s="20" t="str">
        <x:v>ca4ae997-8964-590d-ba3e-9885307d3bf7</x:v>
      </x:c>
      <x:c r="C144" s="20" t="str">
        <x:v>Terminal</x:v>
      </x:c>
      <x:c r="D144" s="20" t="str">
        <x:v>1</x:v>
      </x:c>
      <x:c r="E144" s="20" t="str">
        <x:v>GI_GILL</x:v>
      </x:c>
      <x:c r="F144" s="20" t="str"/>
      <x:c r="G144" s="20" t="str"/>
      <x:c r="H144" s="20" t="str">
        <x:v>SOURCE_TOPOLOGY_EXPANDED</x:v>
      </x:c>
      <x:c r="I144" s="34" t="n">
        <x:v>0.85</x:v>
      </x:c>
      <x:c r="J144" s="20" t="str">
        <x:v>DRAFT</x:v>
      </x:c>
      <x:c r="K144" s="20" t="str"/>
      <x:c r="L144" s="20" t="str">
        <x:v>Terminal 1 of LOAD PUKIS 1</x:v>
      </x:c>
    </x:row>
    <x:row r="145">
      <x:c r="A145" s="20" t="str">
        <x:v>GI-GILL-150-BAY-LOAD_PUKIS2</x:v>
      </x:c>
      <x:c r="B145" s="20" t="str">
        <x:v>3e82619e-1cc5-5d9a-8fb4-b86bab2b7aed</x:v>
      </x:c>
      <x:c r="C145" s="20" t="str">
        <x:v>Bay</x:v>
      </x:c>
      <x:c r="D145" s="20" t="str">
        <x:v>BAY LOAD PUKIS 2</x:v>
      </x:c>
      <x:c r="E145" s="20" t="str">
        <x:v>GI_GILL</x:v>
      </x:c>
      <x:c r="F145" s="20" t="n">
        <x:v>150</x:v>
      </x:c>
      <x:c r="G145" s="20" t="str">
        <x:v>LOAD_PUKIS2</x:v>
      </x:c>
      <x:c r="H145" s="20" t="str">
        <x:v>SOURCE_DERIVED</x:v>
      </x:c>
      <x:c r="I145" s="34" t="n">
        <x:v>0.85</x:v>
      </x:c>
      <x:c r="J145" s="20" t="str">
        <x:v>DRAFT</x:v>
      </x:c>
      <x:c r="K145" s="20" t="str">
        <x:v>16eadad8-7b0c-4416-ac5f-afb09c7a685e</x:v>
      </x:c>
      <x:c r="L145" s="20" t="str">
        <x:v>Canonical single-bus bay for LOAD PUKIS 2.</x:v>
      </x:c>
    </x:row>
    <x:row r="146">
      <x:c r="A146" s="20" t="str">
        <x:v>CN-GI-GILL-LOAD_PUKIS2-DS-CB</x:v>
      </x:c>
      <x:c r="B146" s="20" t="str">
        <x:v>4ad940b4-30b8-50a7-881c-5fa11e0806d9</x:v>
      </x:c>
      <x:c r="C146" s="20" t="str">
        <x:v>ConnectivityNode</x:v>
      </x:c>
      <x:c r="D146" s="20" t="str">
        <x:v>LOAD_PUKIS2 DS-to-CB node</x:v>
      </x:c>
      <x:c r="E146" s="20" t="str">
        <x:v>GI_GILL</x:v>
      </x:c>
      <x:c r="F146" s="20" t="n">
        <x:v>150</x:v>
      </x:c>
      <x:c r="G146" s="20" t="str">
        <x:v>LOAD_PUKIS2</x:v>
      </x:c>
      <x:c r="H146" s="20" t="str">
        <x:v>ASSUMED</x:v>
      </x:c>
      <x:c r="I146" s="34" t="n">
        <x:v>0.7</x:v>
      </x:c>
      <x:c r="J146" s="20" t="str">
        <x:v>DRAFT</x:v>
      </x:c>
      <x:c r="K146" s="20" t="str"/>
      <x:c r="L146" s="20" t="str">
        <x:v>Connectivity node LOAD_PUKIS2 DS-to-CB node.</x:v>
      </x:c>
    </x:row>
    <x:row r="147">
      <x:c r="A147" s="20" t="str">
        <x:v>CN-GI-GILL-LOAD_PUKIS2-CB-DS</x:v>
      </x:c>
      <x:c r="B147" s="20" t="str">
        <x:v>dc0c5a44-6487-5d9b-b813-2a45b6357133</x:v>
      </x:c>
      <x:c r="C147" s="20" t="str">
        <x:v>ConnectivityNode</x:v>
      </x:c>
      <x:c r="D147" s="20" t="str">
        <x:v>LOAD_PUKIS2 CB-to-DS node</x:v>
      </x:c>
      <x:c r="E147" s="20" t="str">
        <x:v>GI_GILL</x:v>
      </x:c>
      <x:c r="F147" s="20" t="n">
        <x:v>150</x:v>
      </x:c>
      <x:c r="G147" s="20" t="str">
        <x:v>LOAD_PUKIS2</x:v>
      </x:c>
      <x:c r="H147" s="20" t="str">
        <x:v>ASSUMED</x:v>
      </x:c>
      <x:c r="I147" s="34" t="n">
        <x:v>0.7</x:v>
      </x:c>
      <x:c r="J147" s="20" t="str">
        <x:v>DRAFT</x:v>
      </x:c>
      <x:c r="K147" s="20" t="str"/>
      <x:c r="L147" s="20" t="str">
        <x:v>Connectivity node LOAD_PUKIS2 CB-to-DS node.</x:v>
      </x:c>
    </x:row>
    <x:row r="148">
      <x:c r="A148" s="20" t="str">
        <x:v>CN-GI-GILL-LOAD_PUKIS2-EQ</x:v>
      </x:c>
      <x:c r="B148" s="20" t="str">
        <x:v>dd8f0095-7d93-55b4-9fbe-efa43d6febb1</x:v>
      </x:c>
      <x:c r="C148" s="20" t="str">
        <x:v>ConnectivityNode</x:v>
      </x:c>
      <x:c r="D148" s="20" t="str">
        <x:v>LOAD_PUKIS2 equipment terminal node</x:v>
      </x:c>
      <x:c r="E148" s="20" t="str">
        <x:v>GI_GILL</x:v>
      </x:c>
      <x:c r="F148" s="20" t="n">
        <x:v>150</x:v>
      </x:c>
      <x:c r="G148" s="20" t="str">
        <x:v>LOAD_PUKIS2</x:v>
      </x:c>
      <x:c r="H148" s="20" t="str">
        <x:v>SOURCE_TOPOLOGY_EXPANDED</x:v>
      </x:c>
      <x:c r="I148" s="34" t="n">
        <x:v>0.8</x:v>
      </x:c>
      <x:c r="J148" s="20" t="str">
        <x:v>DRAFT</x:v>
      </x:c>
      <x:c r="K148" s="20" t="str"/>
      <x:c r="L148" s="20" t="str">
        <x:v>Connectivity node LOAD_PUKIS2 equipment terminal node.</x:v>
      </x:c>
    </x:row>
    <x:row r="149">
      <x:c r="A149" s="20" t="str">
        <x:v>GI-GILL-150-LOAD_PUKIS2-DS-BUS</x:v>
      </x:c>
      <x:c r="B149" s="20" t="str">
        <x:v>b7581733-c251-5276-9607-2f533beb8ff9</x:v>
      </x:c>
      <x:c r="C149" s="20" t="str">
        <x:v>Disconnector</x:v>
      </x:c>
      <x:c r="D149" s="20" t="str">
        <x:v>DS BUS LOAD PUKIS 2</x:v>
      </x:c>
      <x:c r="E149" s="20" t="str">
        <x:v>GI_GILL</x:v>
      </x:c>
      <x:c r="F149" s="20" t="n">
        <x:v>150</x:v>
      </x:c>
      <x:c r="G149" s="20" t="str">
        <x:v>LOAD_PUKIS2</x:v>
      </x:c>
      <x:c r="H149" s="20" t="str">
        <x:v>ASSUMED</x:v>
      </x:c>
      <x:c r="I149" s="34" t="n">
        <x:v>0.7</x:v>
      </x:c>
      <x:c r="J149" s="20" t="str">
        <x:v>DRAFT</x:v>
      </x:c>
      <x:c r="K149" s="20" t="str"/>
      <x:c r="L149" s="20" t="str">
        <x:v>DS BUS LOAD PUKIS 2 in LOAD_PUKIS2 bay.</x:v>
      </x:c>
    </x:row>
    <x:row r="150">
      <x:c r="A150" s="20" t="str">
        <x:v>DS-GI-GILL-LOAD_PUKIS2-BUS-T1</x:v>
      </x:c>
      <x:c r="B150" s="20" t="str">
        <x:v>20fd6565-abab-5bf4-a253-d286aab8e50a</x:v>
      </x:c>
      <x:c r="C150" s="20" t="str">
        <x:v>Terminal</x:v>
      </x:c>
      <x:c r="D150" s="20" t="str">
        <x:v>1</x:v>
      </x:c>
      <x:c r="E150" s="20" t="str">
        <x:v>GI_GILL</x:v>
      </x:c>
      <x:c r="F150" s="20" t="str"/>
      <x:c r="G150" s="20" t="str"/>
      <x:c r="H150" s="20" t="str">
        <x:v>ASSUMED</x:v>
      </x:c>
      <x:c r="I150" s="34" t="n">
        <x:v>0.7</x:v>
      </x:c>
      <x:c r="J150" s="20" t="str">
        <x:v>DRAFT</x:v>
      </x:c>
      <x:c r="K150" s="20" t="str"/>
      <x:c r="L150" s="20" t="str">
        <x:v>Terminal 1 of DS BUS LOAD PUKIS 2</x:v>
      </x:c>
    </x:row>
    <x:row r="151">
      <x:c r="A151" s="20" t="str">
        <x:v>DS-GI-GILL-LOAD_PUKIS2-BUS-T2</x:v>
      </x:c>
      <x:c r="B151" s="20" t="str">
        <x:v>bbe12fc4-3a62-56d3-9db4-1c927f1415fc</x:v>
      </x:c>
      <x:c r="C151" s="20" t="str">
        <x:v>Terminal</x:v>
      </x:c>
      <x:c r="D151" s="20" t="str">
        <x:v>2</x:v>
      </x:c>
      <x:c r="E151" s="20" t="str">
        <x:v>GI_GILL</x:v>
      </x:c>
      <x:c r="F151" s="20" t="str"/>
      <x:c r="G151" s="20" t="str"/>
      <x:c r="H151" s="20" t="str">
        <x:v>ASSUMED</x:v>
      </x:c>
      <x:c r="I151" s="34" t="n">
        <x:v>0.7</x:v>
      </x:c>
      <x:c r="J151" s="20" t="str">
        <x:v>DRAFT</x:v>
      </x:c>
      <x:c r="K151" s="20" t="str"/>
      <x:c r="L151" s="20" t="str">
        <x:v>Terminal 2 of DS BUS LOAD PUKIS 2</x:v>
      </x:c>
    </x:row>
    <x:row r="152">
      <x:c r="A152" s="20" t="str">
        <x:v>GI-GILL-150-LOAD_PUKIS2-CB</x:v>
      </x:c>
      <x:c r="B152" s="20" t="str">
        <x:v>41d4a5f7-1330-5bdd-b4fd-4efc9cb1b951</x:v>
      </x:c>
      <x:c r="C152" s="20" t="str">
        <x:v>Breaker</x:v>
      </x:c>
      <x:c r="D152" s="20" t="str">
        <x:v>CB LOAD PUKIS 2</x:v>
      </x:c>
      <x:c r="E152" s="20" t="str">
        <x:v>GI_GILL</x:v>
      </x:c>
      <x:c r="F152" s="20" t="n">
        <x:v>150</x:v>
      </x:c>
      <x:c r="G152" s="20" t="str">
        <x:v>LOAD_PUKIS2</x:v>
      </x:c>
      <x:c r="H152" s="20" t="str">
        <x:v>ASSUMED</x:v>
      </x:c>
      <x:c r="I152" s="34" t="n">
        <x:v>0.72</x:v>
      </x:c>
      <x:c r="J152" s="20" t="str">
        <x:v>DRAFT</x:v>
      </x:c>
      <x:c r="K152" s="20" t="str"/>
      <x:c r="L152" s="20" t="str">
        <x:v>CB LOAD PUKIS 2 in LOAD_PUKIS2 bay.</x:v>
      </x:c>
    </x:row>
    <x:row r="153">
      <x:c r="A153" s="20" t="str">
        <x:v>CB-GI-GILL-LOAD_PUKIS2-T1</x:v>
      </x:c>
      <x:c r="B153" s="20" t="str">
        <x:v>cf9d9516-4af8-52b8-a096-9f3521d941f7</x:v>
      </x:c>
      <x:c r="C153" s="20" t="str">
        <x:v>Terminal</x:v>
      </x:c>
      <x:c r="D153" s="20" t="str">
        <x:v>1</x:v>
      </x:c>
      <x:c r="E153" s="20" t="str">
        <x:v>GI_GILL</x:v>
      </x:c>
      <x:c r="F153" s="20" t="str"/>
      <x:c r="G153" s="20" t="str"/>
      <x:c r="H153" s="20" t="str">
        <x:v>ASSUMED</x:v>
      </x:c>
      <x:c r="I153" s="34" t="n">
        <x:v>0.72</x:v>
      </x:c>
      <x:c r="J153" s="20" t="str">
        <x:v>DRAFT</x:v>
      </x:c>
      <x:c r="K153" s="20" t="str"/>
      <x:c r="L153" s="20" t="str">
        <x:v>Terminal 1 of CB LOAD PUKIS 2</x:v>
      </x:c>
    </x:row>
    <x:row r="154">
      <x:c r="A154" s="20" t="str">
        <x:v>CB-GI-GILL-LOAD_PUKIS2-T2</x:v>
      </x:c>
      <x:c r="B154" s="20" t="str">
        <x:v>4b9fd383-ab6f-51f5-8cdf-c3e1a354dcaa</x:v>
      </x:c>
      <x:c r="C154" s="20" t="str">
        <x:v>Terminal</x:v>
      </x:c>
      <x:c r="D154" s="20" t="str">
        <x:v>2</x:v>
      </x:c>
      <x:c r="E154" s="20" t="str">
        <x:v>GI_GILL</x:v>
      </x:c>
      <x:c r="F154" s="20" t="str"/>
      <x:c r="G154" s="20" t="str"/>
      <x:c r="H154" s="20" t="str">
        <x:v>ASSUMED</x:v>
      </x:c>
      <x:c r="I154" s="34" t="n">
        <x:v>0.72</x:v>
      </x:c>
      <x:c r="J154" s="20" t="str">
        <x:v>DRAFT</x:v>
      </x:c>
      <x:c r="K154" s="20" t="str"/>
      <x:c r="L154" s="20" t="str">
        <x:v>Terminal 2 of CB LOAD PUKIS 2</x:v>
      </x:c>
    </x:row>
    <x:row r="155">
      <x:c r="A155" s="20" t="str">
        <x:v>GI-GILL-150-LOAD_PUKIS2-DS-EQ</x:v>
      </x:c>
      <x:c r="B155" s="20" t="str">
        <x:v>dc4edc65-8b1c-5d16-b6f0-2c5bafa73e67</x:v>
      </x:c>
      <x:c r="C155" s="20" t="str">
        <x:v>Disconnector</x:v>
      </x:c>
      <x:c r="D155" s="20" t="str">
        <x:v>DS EQUIPMENT LOAD PUKIS 2</x:v>
      </x:c>
      <x:c r="E155" s="20" t="str">
        <x:v>GI_GILL</x:v>
      </x:c>
      <x:c r="F155" s="20" t="n">
        <x:v>150</x:v>
      </x:c>
      <x:c r="G155" s="20" t="str">
        <x:v>LOAD_PUKIS2</x:v>
      </x:c>
      <x:c r="H155" s="20" t="str">
        <x:v>ASSUMED</x:v>
      </x:c>
      <x:c r="I155" s="34" t="n">
        <x:v>0.7</x:v>
      </x:c>
      <x:c r="J155" s="20" t="str">
        <x:v>DRAFT</x:v>
      </x:c>
      <x:c r="K155" s="20" t="str"/>
      <x:c r="L155" s="20" t="str">
        <x:v>DS EQUIPMENT LOAD PUKIS 2 in LOAD_PUKIS2 bay.</x:v>
      </x:c>
    </x:row>
    <x:row r="156">
      <x:c r="A156" s="20" t="str">
        <x:v>DS-GI-GILL-LOAD_PUKIS2-EQ-T1</x:v>
      </x:c>
      <x:c r="B156" s="20" t="str">
        <x:v>04f3436b-31af-54a2-860b-f7f24fc0b1c8</x:v>
      </x:c>
      <x:c r="C156" s="20" t="str">
        <x:v>Terminal</x:v>
      </x:c>
      <x:c r="D156" s="20" t="str">
        <x:v>1</x:v>
      </x:c>
      <x:c r="E156" s="20" t="str">
        <x:v>GI_GILL</x:v>
      </x:c>
      <x:c r="F156" s="20" t="str"/>
      <x:c r="G156" s="20" t="str"/>
      <x:c r="H156" s="20" t="str">
        <x:v>ASSUMED</x:v>
      </x:c>
      <x:c r="I156" s="34" t="n">
        <x:v>0.7</x:v>
      </x:c>
      <x:c r="J156" s="20" t="str">
        <x:v>DRAFT</x:v>
      </x:c>
      <x:c r="K156" s="20" t="str"/>
      <x:c r="L156" s="20" t="str">
        <x:v>Terminal 1 of DS EQUIPMENT LOAD PUKIS 2</x:v>
      </x:c>
    </x:row>
    <x:row r="157">
      <x:c r="A157" s="20" t="str">
        <x:v>DS-GI-GILL-LOAD_PUKIS2-EQ-T2</x:v>
      </x:c>
      <x:c r="B157" s="20" t="str">
        <x:v>7855a59d-4769-5d48-b26e-d1e6afa09e7f</x:v>
      </x:c>
      <x:c r="C157" s="20" t="str">
        <x:v>Terminal</x:v>
      </x:c>
      <x:c r="D157" s="20" t="str">
        <x:v>2</x:v>
      </x:c>
      <x:c r="E157" s="20" t="str">
        <x:v>GI_GILL</x:v>
      </x:c>
      <x:c r="F157" s="20" t="str"/>
      <x:c r="G157" s="20" t="str"/>
      <x:c r="H157" s="20" t="str">
        <x:v>ASSUMED</x:v>
      </x:c>
      <x:c r="I157" s="34" t="n">
        <x:v>0.7</x:v>
      </x:c>
      <x:c r="J157" s="20" t="str">
        <x:v>DRAFT</x:v>
      </x:c>
      <x:c r="K157" s="20" t="str"/>
      <x:c r="L157" s="20" t="str">
        <x:v>Terminal 2 of DS EQUIPMENT LOAD PUKIS 2</x:v>
      </x:c>
    </x:row>
    <x:row r="158">
      <x:c r="A158" s="20" t="str">
        <x:v>GI-GILL-150-LOAD_PUKIS2</x:v>
      </x:c>
      <x:c r="B158" s="20" t="str">
        <x:v>04703bf2-0fa5-50d8-b16a-de205c87004c</x:v>
      </x:c>
      <x:c r="C158" s="20" t="str">
        <x:v>ConformLoad</x:v>
      </x:c>
      <x:c r="D158" s="20" t="str">
        <x:v>LOAD PUKIS 2</x:v>
      </x:c>
      <x:c r="E158" s="20" t="str">
        <x:v>GI_GILL</x:v>
      </x:c>
      <x:c r="F158" s="20" t="n">
        <x:v>150</x:v>
      </x:c>
      <x:c r="G158" s="20" t="str">
        <x:v>LOAD_PUKIS2</x:v>
      </x:c>
      <x:c r="H158" s="20" t="str">
        <x:v>SOURCE_NORMALIZED</x:v>
      </x:c>
      <x:c r="I158" s="34" t="n">
        <x:v>0.9</x:v>
      </x:c>
      <x:c r="J158" s="20" t="str">
        <x:v>DRAFT</x:v>
      </x:c>
      <x:c r="K158" s="20" t="str">
        <x:v>16eadad8-7b0c-4416-ac5f-afb09c7a685e</x:v>
      </x:c>
      <x:c r="L158" s="20" t="str">
        <x:v>Canonical ConformLoad for LOAD PUKIS 2. Source fixed P and Q are retained.</x:v>
      </x:c>
    </x:row>
    <x:row r="159">
      <x:c r="A159" s="20" t="str">
        <x:v>PRIMARY-GI-GILL-LOAD_PUKIS2-T1</x:v>
      </x:c>
      <x:c r="B159" s="20" t="str">
        <x:v>cba8487b-d75f-5dd8-9abd-551b3e0bb845</x:v>
      </x:c>
      <x:c r="C159" s="20" t="str">
        <x:v>Terminal</x:v>
      </x:c>
      <x:c r="D159" s="20" t="str">
        <x:v>1</x:v>
      </x:c>
      <x:c r="E159" s="20" t="str">
        <x:v>GI_GILL</x:v>
      </x:c>
      <x:c r="F159" s="20" t="str"/>
      <x:c r="G159" s="20" t="str"/>
      <x:c r="H159" s="20" t="str">
        <x:v>SOURCE_TOPOLOGY_EXPANDED</x:v>
      </x:c>
      <x:c r="I159" s="34" t="n">
        <x:v>0.85</x:v>
      </x:c>
      <x:c r="J159" s="20" t="str">
        <x:v>DRAFT</x:v>
      </x:c>
      <x:c r="K159" s="20" t="str"/>
      <x:c r="L159" s="20" t="str">
        <x:v>Terminal 1 of LOAD PUKIS 2</x:v>
      </x:c>
    </x:row>
  </x:sheetData>
  <x:mergeCells>
    <x:mergeCell ref="A1:L1"/>
    <x:mergeCell ref="A2:L2"/>
  </x:mergeCells>
  <x:conditionalFormatting sqref="I5:I15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08d43d94afb4a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3" hidden="0" customWidth="1"/>
    <x:col min="4" max="4" width="38" hidden="0" customWidth="1"/>
    <x:col min="5" max="5" width="34" hidden="0" customWidth="1"/>
    <x:col min="6" max="6" width="40" hidden="0" customWidth="1"/>
    <x:col min="7" max="7" width="34" hidden="0" customWidth="1"/>
    <x:col min="8" max="8" width="40" hidden="0" customWidth="1"/>
    <x:col min="9" max="9" width="14" hidden="0" customWidth="1"/>
    <x:col min="10" max="10" width="28" hidden="0" customWidth="1"/>
    <x:col min="11" max="11" width="12" hidden="0" customWidth="1"/>
  </x:cols>
  <x:sheetData>
    <x:row r="1" ht="28" customHeight="1">
      <x:c r="A1" s="23" t="str">
        <x:v>Internal Bay Topology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36" customHeight="1">
      <x:c r="A2" s="26" t="str">
        <x:v>Each bay follows the explicit Bus–DS–CB–DS–Equipment structure used in this POC.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4" ht="30" customHeight="1">
      <x:c r="A4" s="30" t="str">
        <x:v>bay</x:v>
      </x:c>
      <x:c r="B4" s="30" t="str">
        <x:v>equipment_id</x:v>
      </x:c>
      <x:c r="C4" s="30" t="str">
        <x:v>equipment_class</x:v>
      </x:c>
      <x:c r="D4" s="30" t="str">
        <x:v>equipment_name</x:v>
      </x:c>
      <x:c r="E4" s="30" t="str">
        <x:v>terminal_1</x:v>
      </x:c>
      <x:c r="F4" s="30" t="str">
        <x:v>node_1</x:v>
      </x:c>
      <x:c r="G4" s="30" t="str">
        <x:v>terminal_2</x:v>
      </x:c>
      <x:c r="H4" s="30" t="str">
        <x:v>node_2</x:v>
      </x:c>
      <x:c r="I4" s="30" t="str">
        <x:v>normal_open</x:v>
      </x:c>
      <x:c r="J4" s="30" t="str">
        <x:v>provenance</x:v>
      </x:c>
      <x:c r="K4" s="30" t="str">
        <x:v>confidence</x:v>
      </x:c>
    </x:row>
    <x:row r="5">
      <x:c r="A5" s="20" t="str">
        <x:v>GEN_GILL</x:v>
      </x:c>
      <x:c r="B5" s="20" t="str">
        <x:v>GI-GILL-150-GEN_GILL-DS-BUS</x:v>
      </x:c>
      <x:c r="C5" s="20" t="str">
        <x:v>Disconnector</x:v>
      </x:c>
      <x:c r="D5" s="20" t="str">
        <x:v>DS BUS GEN GILL</x:v>
      </x:c>
      <x:c r="E5" s="20" t="str">
        <x:v>DS-GI-GILL-GEN_GILL-BUS-T1</x:v>
      </x:c>
      <x:c r="F5" s="20" t="str">
        <x:v>CN-GI-GILL-BUS</x:v>
      </x:c>
      <x:c r="G5" s="20" t="str">
        <x:v>DS-GI-GILL-GEN_GILL-BUS-T2</x:v>
      </x:c>
      <x:c r="H5" s="20" t="str">
        <x:v>CN-GI-GILL-GEN_GILL-DS-CB</x:v>
      </x:c>
      <x:c r="I5" s="40" t="b">
        <x:v>0</x:v>
      </x:c>
      <x:c r="J5" s="20" t="str">
        <x:v>ASSUMED</x:v>
      </x:c>
      <x:c r="K5" s="34" t="n">
        <x:v>0.7</x:v>
      </x:c>
    </x:row>
    <x:row r="6">
      <x:c r="A6" s="20" t="str">
        <x:v>GEN_GILL</x:v>
      </x:c>
      <x:c r="B6" s="20" t="str">
        <x:v>GI-GILL-150-GEN_GILL-CB</x:v>
      </x:c>
      <x:c r="C6" s="20" t="str">
        <x:v>Breaker</x:v>
      </x:c>
      <x:c r="D6" s="20" t="str">
        <x:v>CB GEN GILL</x:v>
      </x:c>
      <x:c r="E6" s="20" t="str">
        <x:v>CB-GI-GILL-GEN_GILL-T1</x:v>
      </x:c>
      <x:c r="F6" s="20" t="str">
        <x:v>CN-GI-GILL-GEN_GILL-DS-CB</x:v>
      </x:c>
      <x:c r="G6" s="20" t="str">
        <x:v>CB-GI-GILL-GEN_GILL-T2</x:v>
      </x:c>
      <x:c r="H6" s="20" t="str">
        <x:v>CN-GI-GILL-GEN_GILL-CB-DS</x:v>
      </x:c>
      <x:c r="I6" s="40" t="b">
        <x:v>0</x:v>
      </x:c>
      <x:c r="J6" s="20" t="str">
        <x:v>ASSUMED</x:v>
      </x:c>
      <x:c r="K6" s="34" t="n">
        <x:v>0.72</x:v>
      </x:c>
    </x:row>
    <x:row r="7">
      <x:c r="A7" s="20" t="str">
        <x:v>GEN_GILL</x:v>
      </x:c>
      <x:c r="B7" s="20" t="str">
        <x:v>GI-GILL-150-GEN_GILL-DS-EQ</x:v>
      </x:c>
      <x:c r="C7" s="20" t="str">
        <x:v>Disconnector</x:v>
      </x:c>
      <x:c r="D7" s="20" t="str">
        <x:v>DS EQUIPMENT GEN GILL</x:v>
      </x:c>
      <x:c r="E7" s="20" t="str">
        <x:v>DS-GI-GILL-GEN_GILL-EQ-T1</x:v>
      </x:c>
      <x:c r="F7" s="20" t="str">
        <x:v>CN-GI-GILL-GEN_GILL-CB-DS</x:v>
      </x:c>
      <x:c r="G7" s="20" t="str">
        <x:v>DS-GI-GILL-GEN_GILL-EQ-T2</x:v>
      </x:c>
      <x:c r="H7" s="20" t="str">
        <x:v>CN-GI-GILL-GEN_GILL-EQUIPMENT</x:v>
      </x:c>
      <x:c r="I7" s="40" t="b">
        <x:v>0</x:v>
      </x:c>
      <x:c r="J7" s="20" t="str">
        <x:v>SOURCE_RECAST</x:v>
      </x:c>
      <x:c r="K7" s="34" t="n">
        <x:v>0.68</x:v>
      </x:c>
    </x:row>
    <x:row r="8">
      <x:c r="A8" s="20" t="str">
        <x:v>GEN_GILL</x:v>
      </x:c>
      <x:c r="B8" s="20" t="str">
        <x:v>GI-GILL-150-GEN_GILL</x:v>
      </x:c>
      <x:c r="C8" s="20" t="str">
        <x:v>SynchronousMachine</x:v>
      </x:c>
      <x:c r="D8" s="20" t="str">
        <x:v>GEN GILL</x:v>
      </x:c>
      <x:c r="E8" s="20" t="str">
        <x:v>PRIMARY-GI-GILL-GEN_GILL-T1</x:v>
      </x:c>
      <x:c r="F8" s="20" t="str">
        <x:v>CN-GI-GILL-GEN_GILL-EQUIPMENT</x:v>
      </x:c>
      <x:c r="G8" s="20" t="str"/>
      <x:c r="H8" s="20" t="str"/>
      <x:c r="I8" s="20" t="str"/>
      <x:c r="J8" s="20" t="str">
        <x:v>SOURCE_NORMALIZED</x:v>
      </x:c>
      <x:c r="K8" s="34" t="n">
        <x:v>0.9</x:v>
      </x:c>
    </x:row>
    <x:row r="9">
      <x:c r="A9" s="20" t="str">
        <x:v>TRF_GILL</x:v>
      </x:c>
      <x:c r="B9" s="20" t="str">
        <x:v>GI-GILL-150-TRF_GILL-DS-BUS</x:v>
      </x:c>
      <x:c r="C9" s="20" t="str">
        <x:v>Disconnector</x:v>
      </x:c>
      <x:c r="D9" s="20" t="str">
        <x:v>DS BUS TRAFO GILL</x:v>
      </x:c>
      <x:c r="E9" s="20" t="str">
        <x:v>DS-GI-GILL-TRF_GILL-BUS-T1</x:v>
      </x:c>
      <x:c r="F9" s="20" t="str">
        <x:v>CN-GI-GILL-BUS</x:v>
      </x:c>
      <x:c r="G9" s="20" t="str">
        <x:v>DS-GI-GILL-TRF_GILL-BUS-T2</x:v>
      </x:c>
      <x:c r="H9" s="20" t="str">
        <x:v>CN-GI-GILL-TRF_GILL-DS-CB</x:v>
      </x:c>
      <x:c r="I9" s="40" t="b">
        <x:v>0</x:v>
      </x:c>
      <x:c r="J9" s="20" t="str">
        <x:v>ASSUMED</x:v>
      </x:c>
      <x:c r="K9" s="34" t="n">
        <x:v>0.7</x:v>
      </x:c>
    </x:row>
    <x:row r="10">
      <x:c r="A10" s="20" t="str">
        <x:v>TRF_GILL</x:v>
      </x:c>
      <x:c r="B10" s="20" t="str">
        <x:v>GI-GILL-150-TRF_GILL-CB</x:v>
      </x:c>
      <x:c r="C10" s="20" t="str">
        <x:v>Breaker</x:v>
      </x:c>
      <x:c r="D10" s="20" t="str">
        <x:v>CB TRAFO GILL</x:v>
      </x:c>
      <x:c r="E10" s="20" t="str">
        <x:v>CB-GI-GILL-TRF_GILL-T1</x:v>
      </x:c>
      <x:c r="F10" s="20" t="str">
        <x:v>CN-GI-GILL-TRF_GILL-DS-CB</x:v>
      </x:c>
      <x:c r="G10" s="20" t="str">
        <x:v>CB-GI-GILL-TRF_GILL-T2</x:v>
      </x:c>
      <x:c r="H10" s="20" t="str">
        <x:v>CN-GI-GILL-TRF_GILL-CB-DS</x:v>
      </x:c>
      <x:c r="I10" s="40" t="b">
        <x:v>0</x:v>
      </x:c>
      <x:c r="J10" s="20" t="str">
        <x:v>ASSUMED</x:v>
      </x:c>
      <x:c r="K10" s="34" t="n">
        <x:v>0.72</x:v>
      </x:c>
    </x:row>
    <x:row r="11">
      <x:c r="A11" s="20" t="str">
        <x:v>TRF_GILL</x:v>
      </x:c>
      <x:c r="B11" s="20" t="str">
        <x:v>GI-GILL-150-TRF_GILL-DS-EQ</x:v>
      </x:c>
      <x:c r="C11" s="20" t="str">
        <x:v>Disconnector</x:v>
      </x:c>
      <x:c r="D11" s="20" t="str">
        <x:v>DS EQUIPMENT TRAFO GILL</x:v>
      </x:c>
      <x:c r="E11" s="20" t="str">
        <x:v>DS-GI-GILL-TRF_GILL-EQ-T1</x:v>
      </x:c>
      <x:c r="F11" s="20" t="str">
        <x:v>CN-GI-GILL-TRF_GILL-CB-DS</x:v>
      </x:c>
      <x:c r="G11" s="20" t="str">
        <x:v>DS-GI-GILL-TRF_GILL-EQ-T2</x:v>
      </x:c>
      <x:c r="H11" s="20" t="str">
        <x:v>CN-GI-GILL-TRF_GILL-EQUIPMENT</x:v>
      </x:c>
      <x:c r="I11" s="40" t="b">
        <x:v>0</x:v>
      </x:c>
      <x:c r="J11" s="20" t="str">
        <x:v>ASSUMED</x:v>
      </x:c>
      <x:c r="K11" s="34" t="n">
        <x:v>0.7</x:v>
      </x:c>
    </x:row>
    <x:row r="12">
      <x:c r="A12" s="20" t="str">
        <x:v>TRF_GILL</x:v>
      </x:c>
      <x:c r="B12" s="20" t="str">
        <x:v>GI-GILL-150-TRF_GILL</x:v>
      </x:c>
      <x:c r="C12" s="20" t="str">
        <x:v>PowerTransformer</x:v>
      </x:c>
      <x:c r="D12" s="20" t="str">
        <x:v>TRAFO GILL</x:v>
      </x:c>
      <x:c r="E12" s="20" t="str">
        <x:v>PRIMARY-GI-GILL-TRF_GILL-T1</x:v>
      </x:c>
      <x:c r="F12" s="20" t="str">
        <x:v>CN-GI-GILL-TRF_GILL-EQUIPMENT</x:v>
      </x:c>
      <x:c r="G12" s="20" t="str">
        <x:v>PRIMARY-GI-GILL-TRF_GILL-T2</x:v>
      </x:c>
      <x:c r="H12" s="20" t="str">
        <x:v>CN-GI-GILL-TRF_GILL-END-2</x:v>
      </x:c>
      <x:c r="I12" s="20" t="str"/>
      <x:c r="J12" s="20" t="str">
        <x:v>SOURCE_NORMALIZED</x:v>
      </x:c>
      <x:c r="K12" s="34" t="n">
        <x:v>0.9</x:v>
      </x:c>
    </x:row>
    <x:row r="13">
      <x:c r="A13" s="20" t="str">
        <x:v>LINE_GILL</x:v>
      </x:c>
      <x:c r="B13" s="20" t="str">
        <x:v>GI-GILL-150-LINE_GILL-DS-BUS</x:v>
      </x:c>
      <x:c r="C13" s="20" t="str">
        <x:v>Disconnector</x:v>
      </x:c>
      <x:c r="D13" s="20" t="str">
        <x:v>DS BUS LINE GILL</x:v>
      </x:c>
      <x:c r="E13" s="20" t="str">
        <x:v>DS-GI-GILL-LINE_GILL-BUS-T1</x:v>
      </x:c>
      <x:c r="F13" s="20" t="str">
        <x:v>CN-GI-GILL-BUS</x:v>
      </x:c>
      <x:c r="G13" s="20" t="str">
        <x:v>DS-GI-GILL-LINE_GILL-BUS-T2</x:v>
      </x:c>
      <x:c r="H13" s="20" t="str">
        <x:v>CN-GI-GILL-LINE_GILL-DS-CB</x:v>
      </x:c>
      <x:c r="I13" s="40" t="b">
        <x:v>0</x:v>
      </x:c>
      <x:c r="J13" s="20" t="str">
        <x:v>ASSUMED</x:v>
      </x:c>
      <x:c r="K13" s="34" t="n">
        <x:v>0.7</x:v>
      </x:c>
    </x:row>
    <x:row r="14">
      <x:c r="A14" s="20" t="str">
        <x:v>LINE_GILL</x:v>
      </x:c>
      <x:c r="B14" s="20" t="str">
        <x:v>GI-GILL-150-LINE_GILL-CB</x:v>
      </x:c>
      <x:c r="C14" s="20" t="str">
        <x:v>Breaker</x:v>
      </x:c>
      <x:c r="D14" s="20" t="str">
        <x:v>CB LINE GILL</x:v>
      </x:c>
      <x:c r="E14" s="20" t="str">
        <x:v>CB-GI-GILL-LINE_GILL-T1</x:v>
      </x:c>
      <x:c r="F14" s="20" t="str">
        <x:v>CN-GI-GILL-LINE_GILL-DS-CB</x:v>
      </x:c>
      <x:c r="G14" s="20" t="str">
        <x:v>CB-GI-GILL-LINE_GILL-T2</x:v>
      </x:c>
      <x:c r="H14" s="20" t="str">
        <x:v>CN-GI-GILL-LINE_GILL-CB-DS</x:v>
      </x:c>
      <x:c r="I14" s="40" t="b">
        <x:v>0</x:v>
      </x:c>
      <x:c r="J14" s="20" t="str">
        <x:v>ASSUMED</x:v>
      </x:c>
      <x:c r="K14" s="34" t="n">
        <x:v>0.72</x:v>
      </x:c>
    </x:row>
    <x:row r="15">
      <x:c r="A15" s="20" t="str">
        <x:v>LINE_GILL</x:v>
      </x:c>
      <x:c r="B15" s="20" t="str">
        <x:v>GI-GILL-150-LINE_GILL-DS-EQ</x:v>
      </x:c>
      <x:c r="C15" s="20" t="str">
        <x:v>Disconnector</x:v>
      </x:c>
      <x:c r="D15" s="20" t="str">
        <x:v>DS EQUIPMENT LINE GILL</x:v>
      </x:c>
      <x:c r="E15" s="20" t="str">
        <x:v>DS-GI-GILL-LINE_GILL-EQ-T1</x:v>
      </x:c>
      <x:c r="F15" s="20" t="str">
        <x:v>CN-GI-GILL-LINE_GILL-CB-DS</x:v>
      </x:c>
      <x:c r="G15" s="20" t="str">
        <x:v>DS-GI-GILL-LINE_GILL-EQ-T2</x:v>
      </x:c>
      <x:c r="H15" s="20" t="str">
        <x:v>CN-GI-GILL-LINE_GILL-EQUIPMENT</x:v>
      </x:c>
      <x:c r="I15" s="40" t="b">
        <x:v>0</x:v>
      </x:c>
      <x:c r="J15" s="20" t="str">
        <x:v>ASSUMED</x:v>
      </x:c>
      <x:c r="K15" s="34" t="n">
        <x:v>0.7</x:v>
      </x:c>
    </x:row>
    <x:row r="16">
      <x:c r="A16" s="20" t="str">
        <x:v>LINE_GILL</x:v>
      </x:c>
      <x:c r="B16" s="20" t="str">
        <x:v>GI-GILL-150-LINE_GILL</x:v>
      </x:c>
      <x:c r="C16" s="20" t="str">
        <x:v>ACLineSegment</x:v>
      </x:c>
      <x:c r="D16" s="20" t="str">
        <x:v>LINE GILL</x:v>
      </x:c>
      <x:c r="E16" s="20" t="str">
        <x:v>PRIMARY-GI-GILL-LINE_GILL-T1</x:v>
      </x:c>
      <x:c r="F16" s="20" t="str">
        <x:v>CN-GI-GILL-LINE_GILL-EQUIPMENT</x:v>
      </x:c>
      <x:c r="G16" s="20" t="str">
        <x:v>PRIMARY-GI-GILL-LINE_GILL-T2</x:v>
      </x:c>
      <x:c r="H16" s="20" t="str">
        <x:v>CN-GI-GILL-LINE_GILL-BOUNDARY</x:v>
      </x:c>
      <x:c r="I16" s="20" t="str"/>
      <x:c r="J16" s="20" t="str">
        <x:v>SOURCE_NORMALIZED</x:v>
      </x:c>
      <x:c r="K16" s="34" t="n">
        <x:v>0.9</x:v>
      </x:c>
    </x:row>
    <x:row r="17">
      <x:c r="A17" s="20" t="str">
        <x:v>LOAD_GILL</x:v>
      </x:c>
      <x:c r="B17" s="20" t="str">
        <x:v>GI-GILL-150-LOAD_GILL-DS-BUS</x:v>
      </x:c>
      <x:c r="C17" s="20" t="str">
        <x:v>Disconnector</x:v>
      </x:c>
      <x:c r="D17" s="20" t="str">
        <x:v>DS BUS LOAD GILL</x:v>
      </x:c>
      <x:c r="E17" s="20" t="str">
        <x:v>DS-GI-GILL-LOAD_GILL-BUS-T1</x:v>
      </x:c>
      <x:c r="F17" s="20" t="str">
        <x:v>CN-GI-GILL-BUS</x:v>
      </x:c>
      <x:c r="G17" s="20" t="str">
        <x:v>DS-GI-GILL-LOAD_GILL-BUS-T2</x:v>
      </x:c>
      <x:c r="H17" s="20" t="str">
        <x:v>CN-GI-GILL-LOAD_GILL-DS-CB</x:v>
      </x:c>
      <x:c r="I17" s="40" t="b">
        <x:v>0</x:v>
      </x:c>
      <x:c r="J17" s="20" t="str">
        <x:v>ASSUMED</x:v>
      </x:c>
      <x:c r="K17" s="34" t="n">
        <x:v>0.7</x:v>
      </x:c>
    </x:row>
    <x:row r="18">
      <x:c r="A18" s="20" t="str">
        <x:v>LOAD_GILL</x:v>
      </x:c>
      <x:c r="B18" s="20" t="str">
        <x:v>GI-GILL-150-LOAD_GILL-CB</x:v>
      </x:c>
      <x:c r="C18" s="20" t="str">
        <x:v>Breaker</x:v>
      </x:c>
      <x:c r="D18" s="20" t="str">
        <x:v>CB LOAD GILL</x:v>
      </x:c>
      <x:c r="E18" s="20" t="str">
        <x:v>CB-GI-GILL-LOAD_GILL-T1</x:v>
      </x:c>
      <x:c r="F18" s="20" t="str">
        <x:v>CN-GI-GILL-LOAD_GILL-DS-CB</x:v>
      </x:c>
      <x:c r="G18" s="20" t="str">
        <x:v>CB-GI-GILL-LOAD_GILL-T2</x:v>
      </x:c>
      <x:c r="H18" s="20" t="str">
        <x:v>CN-GI-GILL-LOAD_GILL-CB-DS</x:v>
      </x:c>
      <x:c r="I18" s="40" t="b">
        <x:v>0</x:v>
      </x:c>
      <x:c r="J18" s="20" t="str">
        <x:v>ASSUMED</x:v>
      </x:c>
      <x:c r="K18" s="34" t="n">
        <x:v>0.72</x:v>
      </x:c>
    </x:row>
    <x:row r="19">
      <x:c r="A19" s="20" t="str">
        <x:v>LOAD_GILL</x:v>
      </x:c>
      <x:c r="B19" s="20" t="str">
        <x:v>GI-GILL-150-LOAD_GILL-DS-EQ</x:v>
      </x:c>
      <x:c r="C19" s="20" t="str">
        <x:v>Disconnector</x:v>
      </x:c>
      <x:c r="D19" s="20" t="str">
        <x:v>DS EQUIPMENT LOAD GILL</x:v>
      </x:c>
      <x:c r="E19" s="20" t="str">
        <x:v>DS-GI-GILL-LOAD_GILL-EQ-T1</x:v>
      </x:c>
      <x:c r="F19" s="20" t="str">
        <x:v>CN-GI-GILL-LOAD_GILL-CB-DS</x:v>
      </x:c>
      <x:c r="G19" s="20" t="str">
        <x:v>DS-GI-GILL-LOAD_GILL-EQ-T2</x:v>
      </x:c>
      <x:c r="H19" s="20" t="str">
        <x:v>CN-GI-GILL-LOAD_GILL-EQUIPMENT</x:v>
      </x:c>
      <x:c r="I19" s="40" t="b">
        <x:v>0</x:v>
      </x:c>
      <x:c r="J19" s="20" t="str">
        <x:v>ASSUMED</x:v>
      </x:c>
      <x:c r="K19" s="34" t="n">
        <x:v>0.7</x:v>
      </x:c>
    </x:row>
    <x:row r="20">
      <x:c r="A20" s="20" t="str">
        <x:v>LOAD_GILL</x:v>
      </x:c>
      <x:c r="B20" s="20" t="str">
        <x:v>GI-GILL-150-LOAD_GILL</x:v>
      </x:c>
      <x:c r="C20" s="20" t="str">
        <x:v>ConformLoad</x:v>
      </x:c>
      <x:c r="D20" s="20" t="str">
        <x:v>LOAD GILL</x:v>
      </x:c>
      <x:c r="E20" s="20" t="str">
        <x:v>PRIMARY-GI-GILL-LOAD_GILL-T1</x:v>
      </x:c>
      <x:c r="F20" s="20" t="str">
        <x:v>CN-GI-GILL-LOAD_GILL-EQUIPMENT</x:v>
      </x:c>
      <x:c r="G20" s="20" t="str"/>
      <x:c r="H20" s="20" t="str"/>
      <x:c r="I20" s="20" t="str"/>
      <x:c r="J20" s="20" t="str">
        <x:v>SOURCE_NORMALIZED</x:v>
      </x:c>
      <x:c r="K20" s="34" t="n">
        <x:v>0.9</x:v>
      </x:c>
    </x:row>
    <x:row r="21">
      <x:c r="A21" s="20" t="str">
        <x:v>GEN_PUKIS</x:v>
      </x:c>
      <x:c r="B21" s="20" t="str">
        <x:v>GI-GILL-150-GEN_PUKIS-DS-BUS</x:v>
      </x:c>
      <x:c r="C21" s="20" t="str">
        <x:v>Disconnector</x:v>
      </x:c>
      <x:c r="D21" s="20" t="str">
        <x:v>DS BUS GEN PUKIS</x:v>
      </x:c>
      <x:c r="E21" s="20" t="str">
        <x:v>DS-GI-GILL-GEN_PUKIS-BUS-T1</x:v>
      </x:c>
      <x:c r="F21" s="20" t="str">
        <x:v>CN-GI-GILL-BUS</x:v>
      </x:c>
      <x:c r="G21" s="20" t="str">
        <x:v>DS-GI-GILL-GEN_PUKIS-BUS-T2</x:v>
      </x:c>
      <x:c r="H21" s="20" t="str">
        <x:v>CN-GI-GILL-GEN_PUKIS-DS-CB</x:v>
      </x:c>
      <x:c r="I21" s="40" t="b">
        <x:v>0</x:v>
      </x:c>
      <x:c r="J21" s="20" t="str">
        <x:v>ASSUMED</x:v>
      </x:c>
      <x:c r="K21" s="34" t="n">
        <x:v>0.7</x:v>
      </x:c>
    </x:row>
    <x:row r="22">
      <x:c r="A22" s="20" t="str">
        <x:v>GEN_PUKIS</x:v>
      </x:c>
      <x:c r="B22" s="20" t="str">
        <x:v>GI-GILL-150-GEN_PUKIS-CB</x:v>
      </x:c>
      <x:c r="C22" s="20" t="str">
        <x:v>Breaker</x:v>
      </x:c>
      <x:c r="D22" s="20" t="str">
        <x:v>CB GEN PUKIS</x:v>
      </x:c>
      <x:c r="E22" s="20" t="str">
        <x:v>CB-GI-GILL-GEN_PUKIS-T1</x:v>
      </x:c>
      <x:c r="F22" s="20" t="str">
        <x:v>CN-GI-GILL-GEN_PUKIS-DS-CB</x:v>
      </x:c>
      <x:c r="G22" s="20" t="str">
        <x:v>CB-GI-GILL-GEN_PUKIS-T2</x:v>
      </x:c>
      <x:c r="H22" s="20" t="str">
        <x:v>CN-GI-GILL-GEN_PUKIS-CB-DS</x:v>
      </x:c>
      <x:c r="I22" s="40" t="b">
        <x:v>0</x:v>
      </x:c>
      <x:c r="J22" s="20" t="str">
        <x:v>ASSUMED</x:v>
      </x:c>
      <x:c r="K22" s="34" t="n">
        <x:v>0.72</x:v>
      </x:c>
    </x:row>
    <x:row r="23">
      <x:c r="A23" s="20" t="str">
        <x:v>GEN_PUKIS</x:v>
      </x:c>
      <x:c r="B23" s="20" t="str">
        <x:v>GI-GILL-150-GEN_PUKIS-DS-EQ</x:v>
      </x:c>
      <x:c r="C23" s="20" t="str">
        <x:v>Disconnector</x:v>
      </x:c>
      <x:c r="D23" s="20" t="str">
        <x:v>DS EQUIPMENT GEN PUKIS</x:v>
      </x:c>
      <x:c r="E23" s="20" t="str">
        <x:v>DS-GI-GILL-GEN_PUKIS-EQ-T1</x:v>
      </x:c>
      <x:c r="F23" s="20" t="str">
        <x:v>CN-GI-GILL-GEN_PUKIS-CB-DS</x:v>
      </x:c>
      <x:c r="G23" s="20" t="str">
        <x:v>DS-GI-GILL-GEN_PUKIS-EQ-T2</x:v>
      </x:c>
      <x:c r="H23" s="20" t="str">
        <x:v>CN-GI-GILL-GEN_PUKIS-EQUIPMENT</x:v>
      </x:c>
      <x:c r="I23" s="40" t="b">
        <x:v>0</x:v>
      </x:c>
      <x:c r="J23" s="20" t="str">
        <x:v>SOURCE_RECAST</x:v>
      </x:c>
      <x:c r="K23" s="34" t="n">
        <x:v>0.68</x:v>
      </x:c>
    </x:row>
    <x:row r="24">
      <x:c r="A24" s="20" t="str">
        <x:v>GEN_PUKIS</x:v>
      </x:c>
      <x:c r="B24" s="20" t="str">
        <x:v>GI-GILL-150-GEN_PUKIS</x:v>
      </x:c>
      <x:c r="C24" s="20" t="str">
        <x:v>SynchronousMachine</x:v>
      </x:c>
      <x:c r="D24" s="20" t="str">
        <x:v>GEN PUKIS</x:v>
      </x:c>
      <x:c r="E24" s="20" t="str">
        <x:v>PRIMARY-GI-GILL-GEN_PUKIS-T1</x:v>
      </x:c>
      <x:c r="F24" s="20" t="str">
        <x:v>CN-GI-GILL-GEN_PUKIS-EQUIPMENT</x:v>
      </x:c>
      <x:c r="G24" s="20" t="str"/>
      <x:c r="H24" s="20" t="str"/>
      <x:c r="I24" s="20" t="str"/>
      <x:c r="J24" s="20" t="str">
        <x:v>SOURCE_NORMALIZED</x:v>
      </x:c>
      <x:c r="K24" s="34" t="n">
        <x:v>0.9</x:v>
      </x:c>
    </x:row>
    <x:row r="25">
      <x:c r="A25" s="20" t="str">
        <x:v>TRF_PUKIS</x:v>
      </x:c>
      <x:c r="B25" s="20" t="str">
        <x:v>GI-GILL-150-TRF_PUKIS-DS-BUS</x:v>
      </x:c>
      <x:c r="C25" s="20" t="str">
        <x:v>Disconnector</x:v>
      </x:c>
      <x:c r="D25" s="20" t="str">
        <x:v>DS BUS TRAFO PUKIS</x:v>
      </x:c>
      <x:c r="E25" s="20" t="str">
        <x:v>DS-GI-GILL-TRF_PUKIS-BUS-T1</x:v>
      </x:c>
      <x:c r="F25" s="20" t="str">
        <x:v>CN-GI-GILL-BUS</x:v>
      </x:c>
      <x:c r="G25" s="20" t="str">
        <x:v>DS-GI-GILL-TRF_PUKIS-BUS-T2</x:v>
      </x:c>
      <x:c r="H25" s="20" t="str">
        <x:v>CN-GI-GILL-TRF_PUKIS-DS-CB</x:v>
      </x:c>
      <x:c r="I25" s="40" t="b">
        <x:v>0</x:v>
      </x:c>
      <x:c r="J25" s="20" t="str">
        <x:v>ASSUMED</x:v>
      </x:c>
      <x:c r="K25" s="34" t="n">
        <x:v>0.7</x:v>
      </x:c>
    </x:row>
    <x:row r="26">
      <x:c r="A26" s="20" t="str">
        <x:v>TRF_PUKIS</x:v>
      </x:c>
      <x:c r="B26" s="20" t="str">
        <x:v>GI-GILL-150-TRF_PUKIS-CB</x:v>
      </x:c>
      <x:c r="C26" s="20" t="str">
        <x:v>Breaker</x:v>
      </x:c>
      <x:c r="D26" s="20" t="str">
        <x:v>CB TRAFO PUKIS</x:v>
      </x:c>
      <x:c r="E26" s="20" t="str">
        <x:v>CB-GI-GILL-TRF_PUKIS-T1</x:v>
      </x:c>
      <x:c r="F26" s="20" t="str">
        <x:v>CN-GI-GILL-TRF_PUKIS-DS-CB</x:v>
      </x:c>
      <x:c r="G26" s="20" t="str">
        <x:v>CB-GI-GILL-TRF_PUKIS-T2</x:v>
      </x:c>
      <x:c r="H26" s="20" t="str">
        <x:v>CN-GI-GILL-TRF_PUKIS-CB-DS</x:v>
      </x:c>
      <x:c r="I26" s="40" t="b">
        <x:v>0</x:v>
      </x:c>
      <x:c r="J26" s="20" t="str">
        <x:v>ASSUMED</x:v>
      </x:c>
      <x:c r="K26" s="34" t="n">
        <x:v>0.72</x:v>
      </x:c>
    </x:row>
    <x:row r="27">
      <x:c r="A27" s="20" t="str">
        <x:v>TRF_PUKIS</x:v>
      </x:c>
      <x:c r="B27" s="20" t="str">
        <x:v>GI-GILL-150-TRF_PUKIS-DS-EQ</x:v>
      </x:c>
      <x:c r="C27" s="20" t="str">
        <x:v>Disconnector</x:v>
      </x:c>
      <x:c r="D27" s="20" t="str">
        <x:v>DS EQUIPMENT TRAFO PUKIS</x:v>
      </x:c>
      <x:c r="E27" s="20" t="str">
        <x:v>DS-GI-GILL-TRF_PUKIS-EQ-T1</x:v>
      </x:c>
      <x:c r="F27" s="20" t="str">
        <x:v>CN-GI-GILL-TRF_PUKIS-CB-DS</x:v>
      </x:c>
      <x:c r="G27" s="20" t="str">
        <x:v>DS-GI-GILL-TRF_PUKIS-EQ-T2</x:v>
      </x:c>
      <x:c r="H27" s="20" t="str">
        <x:v>CN-GI-GILL-TRF_PUKIS-EQUIPMENT</x:v>
      </x:c>
      <x:c r="I27" s="40" t="b">
        <x:v>0</x:v>
      </x:c>
      <x:c r="J27" s="20" t="str">
        <x:v>ASSUMED</x:v>
      </x:c>
      <x:c r="K27" s="34" t="n">
        <x:v>0.7</x:v>
      </x:c>
    </x:row>
    <x:row r="28">
      <x:c r="A28" s="20" t="str">
        <x:v>TRF_PUKIS</x:v>
      </x:c>
      <x:c r="B28" s="20" t="str">
        <x:v>GI-GILL-150-TRF_PUKIS</x:v>
      </x:c>
      <x:c r="C28" s="20" t="str">
        <x:v>PowerTransformer</x:v>
      </x:c>
      <x:c r="D28" s="20" t="str">
        <x:v>TRAFO PUKIS</x:v>
      </x:c>
      <x:c r="E28" s="20" t="str">
        <x:v>PRIMARY-GI-GILL-TRF_PUKIS-T1</x:v>
      </x:c>
      <x:c r="F28" s="20" t="str">
        <x:v>CN-GI-GILL-TRF_PUKIS-EQUIPMENT</x:v>
      </x:c>
      <x:c r="G28" s="20" t="str">
        <x:v>PRIMARY-GI-GILL-TRF_PUKIS-T2</x:v>
      </x:c>
      <x:c r="H28" s="20" t="str">
        <x:v>CN-GI-GILL-TRF_PUKIS-END-2</x:v>
      </x:c>
      <x:c r="I28" s="20" t="str"/>
      <x:c r="J28" s="20" t="str">
        <x:v>SOURCE_NORMALIZED</x:v>
      </x:c>
      <x:c r="K28" s="34" t="n">
        <x:v>0.9</x:v>
      </x:c>
    </x:row>
    <x:row r="29">
      <x:c r="A29" s="20" t="str">
        <x:v>LINE_PUKIS</x:v>
      </x:c>
      <x:c r="B29" s="20" t="str">
        <x:v>GI-GILL-150-LINE_PUKIS-DS-BUS</x:v>
      </x:c>
      <x:c r="C29" s="20" t="str">
        <x:v>Disconnector</x:v>
      </x:c>
      <x:c r="D29" s="20" t="str">
        <x:v>DS BUS LINE PUKIS</x:v>
      </x:c>
      <x:c r="E29" s="20" t="str">
        <x:v>DS-GI-GILL-LINE_PUKIS-BUS-T1</x:v>
      </x:c>
      <x:c r="F29" s="20" t="str">
        <x:v>CN-GI-GILL-BUS</x:v>
      </x:c>
      <x:c r="G29" s="20" t="str">
        <x:v>DS-GI-GILL-LINE_PUKIS-BUS-T2</x:v>
      </x:c>
      <x:c r="H29" s="20" t="str">
        <x:v>CN-GI-GILL-LINE_PUKIS-DS-CB</x:v>
      </x:c>
      <x:c r="I29" s="40" t="b">
        <x:v>0</x:v>
      </x:c>
      <x:c r="J29" s="20" t="str">
        <x:v>ASSUMED</x:v>
      </x:c>
      <x:c r="K29" s="34" t="n">
        <x:v>0.7</x:v>
      </x:c>
    </x:row>
    <x:row r="30">
      <x:c r="A30" s="20" t="str">
        <x:v>LINE_PUKIS</x:v>
      </x:c>
      <x:c r="B30" s="20" t="str">
        <x:v>GI-GILL-150-LINE_PUKIS-CB</x:v>
      </x:c>
      <x:c r="C30" s="20" t="str">
        <x:v>Breaker</x:v>
      </x:c>
      <x:c r="D30" s="20" t="str">
        <x:v>CB LINE PUKIS</x:v>
      </x:c>
      <x:c r="E30" s="20" t="str">
        <x:v>CB-GI-GILL-LINE_PUKIS-T1</x:v>
      </x:c>
      <x:c r="F30" s="20" t="str">
        <x:v>CN-GI-GILL-LINE_PUKIS-DS-CB</x:v>
      </x:c>
      <x:c r="G30" s="20" t="str">
        <x:v>CB-GI-GILL-LINE_PUKIS-T2</x:v>
      </x:c>
      <x:c r="H30" s="20" t="str">
        <x:v>CN-GI-GILL-LINE_PUKIS-CB-DS</x:v>
      </x:c>
      <x:c r="I30" s="40" t="b">
        <x:v>0</x:v>
      </x:c>
      <x:c r="J30" s="20" t="str">
        <x:v>ASSUMED</x:v>
      </x:c>
      <x:c r="K30" s="34" t="n">
        <x:v>0.72</x:v>
      </x:c>
    </x:row>
    <x:row r="31">
      <x:c r="A31" s="20" t="str">
        <x:v>LINE_PUKIS</x:v>
      </x:c>
      <x:c r="B31" s="20" t="str">
        <x:v>GI-GILL-150-LINE_PUKIS-DS-EQ</x:v>
      </x:c>
      <x:c r="C31" s="20" t="str">
        <x:v>Disconnector</x:v>
      </x:c>
      <x:c r="D31" s="20" t="str">
        <x:v>DS EQUIPMENT LINE PUKIS</x:v>
      </x:c>
      <x:c r="E31" s="20" t="str">
        <x:v>DS-GI-GILL-LINE_PUKIS-EQ-T1</x:v>
      </x:c>
      <x:c r="F31" s="20" t="str">
        <x:v>CN-GI-GILL-LINE_PUKIS-CB-DS</x:v>
      </x:c>
      <x:c r="G31" s="20" t="str">
        <x:v>DS-GI-GILL-LINE_PUKIS-EQ-T2</x:v>
      </x:c>
      <x:c r="H31" s="20" t="str">
        <x:v>CN-GI-GILL-LINE_PUKIS-EQUIPMENT</x:v>
      </x:c>
      <x:c r="I31" s="40" t="b">
        <x:v>0</x:v>
      </x:c>
      <x:c r="J31" s="20" t="str">
        <x:v>ASSUMED</x:v>
      </x:c>
      <x:c r="K31" s="34" t="n">
        <x:v>0.7</x:v>
      </x:c>
    </x:row>
    <x:row r="32">
      <x:c r="A32" s="20" t="str">
        <x:v>LINE_PUKIS</x:v>
      </x:c>
      <x:c r="B32" s="20" t="str">
        <x:v>GI-GILL-150-LINE_PUKIS</x:v>
      </x:c>
      <x:c r="C32" s="20" t="str">
        <x:v>ACLineSegment</x:v>
      </x:c>
      <x:c r="D32" s="20" t="str">
        <x:v>LINE PUKIS</x:v>
      </x:c>
      <x:c r="E32" s="20" t="str">
        <x:v>PRIMARY-GI-GILL-LINE_PUKIS-T1</x:v>
      </x:c>
      <x:c r="F32" s="20" t="str">
        <x:v>CN-GI-GILL-LINE_PUKIS-EQUIPMENT</x:v>
      </x:c>
      <x:c r="G32" s="20" t="str">
        <x:v>PRIMARY-GI-GILL-LINE_PUKIS-T2</x:v>
      </x:c>
      <x:c r="H32" s="20" t="str">
        <x:v>CN-GI-GILL-LINE_PUKIS-BOUNDARY</x:v>
      </x:c>
      <x:c r="I32" s="20" t="str"/>
      <x:c r="J32" s="20" t="str">
        <x:v>SOURCE_NORMALIZED</x:v>
      </x:c>
      <x:c r="K32" s="34" t="n">
        <x:v>0.9</x:v>
      </x:c>
    </x:row>
    <x:row r="33">
      <x:c r="A33" s="20" t="str">
        <x:v>LOAD_PUKIS1</x:v>
      </x:c>
      <x:c r="B33" s="20" t="str">
        <x:v>GI-GILL-150-LOAD_PUKIS1-DS-BUS</x:v>
      </x:c>
      <x:c r="C33" s="20" t="str">
        <x:v>Disconnector</x:v>
      </x:c>
      <x:c r="D33" s="20" t="str">
        <x:v>DS BUS LOAD PUKIS 1</x:v>
      </x:c>
      <x:c r="E33" s="20" t="str">
        <x:v>DS-GI-GILL-LOAD_PUKIS1-BUS-T1</x:v>
      </x:c>
      <x:c r="F33" s="20" t="str">
        <x:v>CN-GI-GILL-BUS</x:v>
      </x:c>
      <x:c r="G33" s="20" t="str">
        <x:v>DS-GI-GILL-LOAD_PUKIS1-BUS-T2</x:v>
      </x:c>
      <x:c r="H33" s="20" t="str">
        <x:v>CN-GI-GILL-LOAD_PUKIS1-DS-CB</x:v>
      </x:c>
      <x:c r="I33" s="40" t="b">
        <x:v>0</x:v>
      </x:c>
      <x:c r="J33" s="20" t="str">
        <x:v>ASSUMED</x:v>
      </x:c>
      <x:c r="K33" s="34" t="n">
        <x:v>0.7</x:v>
      </x:c>
    </x:row>
    <x:row r="34">
      <x:c r="A34" s="20" t="str">
        <x:v>LOAD_PUKIS1</x:v>
      </x:c>
      <x:c r="B34" s="20" t="str">
        <x:v>GI-GILL-150-LOAD_PUKIS1-CB</x:v>
      </x:c>
      <x:c r="C34" s="20" t="str">
        <x:v>Breaker</x:v>
      </x:c>
      <x:c r="D34" s="20" t="str">
        <x:v>CB LOAD PUKIS 1</x:v>
      </x:c>
      <x:c r="E34" s="20" t="str">
        <x:v>CB-GI-GILL-LOAD_PUKIS1-T1</x:v>
      </x:c>
      <x:c r="F34" s="20" t="str">
        <x:v>CN-GI-GILL-LOAD_PUKIS1-DS-CB</x:v>
      </x:c>
      <x:c r="G34" s="20" t="str">
        <x:v>CB-GI-GILL-LOAD_PUKIS1-T2</x:v>
      </x:c>
      <x:c r="H34" s="20" t="str">
        <x:v>CN-GI-GILL-LOAD_PUKIS1-CB-DS</x:v>
      </x:c>
      <x:c r="I34" s="40" t="b">
        <x:v>0</x:v>
      </x:c>
      <x:c r="J34" s="20" t="str">
        <x:v>ASSUMED</x:v>
      </x:c>
      <x:c r="K34" s="34" t="n">
        <x:v>0.72</x:v>
      </x:c>
    </x:row>
    <x:row r="35">
      <x:c r="A35" s="20" t="str">
        <x:v>LOAD_PUKIS1</x:v>
      </x:c>
      <x:c r="B35" s="20" t="str">
        <x:v>GI-GILL-150-LOAD_PUKIS1-DS-EQ</x:v>
      </x:c>
      <x:c r="C35" s="20" t="str">
        <x:v>Disconnector</x:v>
      </x:c>
      <x:c r="D35" s="20" t="str">
        <x:v>DS EQUIPMENT LOAD PUKIS 1</x:v>
      </x:c>
      <x:c r="E35" s="20" t="str">
        <x:v>DS-GI-GILL-LOAD_PUKIS1-EQ-T1</x:v>
      </x:c>
      <x:c r="F35" s="20" t="str">
        <x:v>CN-GI-GILL-LOAD_PUKIS1-CB-DS</x:v>
      </x:c>
      <x:c r="G35" s="20" t="str">
        <x:v>DS-GI-GILL-LOAD_PUKIS1-EQ-T2</x:v>
      </x:c>
      <x:c r="H35" s="20" t="str">
        <x:v>CN-GI-GILL-LOAD_PUKIS1-EQUIPMENT</x:v>
      </x:c>
      <x:c r="I35" s="40" t="b">
        <x:v>0</x:v>
      </x:c>
      <x:c r="J35" s="20" t="str">
        <x:v>ASSUMED</x:v>
      </x:c>
      <x:c r="K35" s="34" t="n">
        <x:v>0.7</x:v>
      </x:c>
    </x:row>
    <x:row r="36">
      <x:c r="A36" s="20" t="str">
        <x:v>LOAD_PUKIS1</x:v>
      </x:c>
      <x:c r="B36" s="20" t="str">
        <x:v>GI-GILL-150-LOAD_PUKIS1</x:v>
      </x:c>
      <x:c r="C36" s="20" t="str">
        <x:v>ConformLoad</x:v>
      </x:c>
      <x:c r="D36" s="20" t="str">
        <x:v>LOAD PUKIS 1</x:v>
      </x:c>
      <x:c r="E36" s="20" t="str">
        <x:v>PRIMARY-GI-GILL-LOAD_PUKIS1-T1</x:v>
      </x:c>
      <x:c r="F36" s="20" t="str">
        <x:v>CN-GI-GILL-LOAD_PUKIS1-EQUIPMENT</x:v>
      </x:c>
      <x:c r="G36" s="20" t="str"/>
      <x:c r="H36" s="20" t="str"/>
      <x:c r="I36" s="20" t="str"/>
      <x:c r="J36" s="20" t="str">
        <x:v>SOURCE_NORMALIZED</x:v>
      </x:c>
      <x:c r="K36" s="34" t="n">
        <x:v>0.9</x:v>
      </x:c>
    </x:row>
    <x:row r="37">
      <x:c r="A37" s="20" t="str">
        <x:v>LOAD_PUKIS2</x:v>
      </x:c>
      <x:c r="B37" s="20" t="str">
        <x:v>GI-GILL-150-LOAD_PUKIS2-DS-BUS</x:v>
      </x:c>
      <x:c r="C37" s="20" t="str">
        <x:v>Disconnector</x:v>
      </x:c>
      <x:c r="D37" s="20" t="str">
        <x:v>DS BUS LOAD PUKIS 2</x:v>
      </x:c>
      <x:c r="E37" s="20" t="str">
        <x:v>DS-GI-GILL-LOAD_PUKIS2-BUS-T1</x:v>
      </x:c>
      <x:c r="F37" s="20" t="str">
        <x:v>CN-GI-GILL-BUS</x:v>
      </x:c>
      <x:c r="G37" s="20" t="str">
        <x:v>DS-GI-GILL-LOAD_PUKIS2-BUS-T2</x:v>
      </x:c>
      <x:c r="H37" s="20" t="str">
        <x:v>CN-GI-GILL-LOAD_PUKIS2-DS-CB</x:v>
      </x:c>
      <x:c r="I37" s="40" t="b">
        <x:v>0</x:v>
      </x:c>
      <x:c r="J37" s="20" t="str">
        <x:v>ASSUMED</x:v>
      </x:c>
      <x:c r="K37" s="34" t="n">
        <x:v>0.7</x:v>
      </x:c>
    </x:row>
    <x:row r="38">
      <x:c r="A38" s="20" t="str">
        <x:v>LOAD_PUKIS2</x:v>
      </x:c>
      <x:c r="B38" s="20" t="str">
        <x:v>GI-GILL-150-LOAD_PUKIS2-CB</x:v>
      </x:c>
      <x:c r="C38" s="20" t="str">
        <x:v>Breaker</x:v>
      </x:c>
      <x:c r="D38" s="20" t="str">
        <x:v>CB LOAD PUKIS 2</x:v>
      </x:c>
      <x:c r="E38" s="20" t="str">
        <x:v>CB-GI-GILL-LOAD_PUKIS2-T1</x:v>
      </x:c>
      <x:c r="F38" s="20" t="str">
        <x:v>CN-GI-GILL-LOAD_PUKIS2-DS-CB</x:v>
      </x:c>
      <x:c r="G38" s="20" t="str">
        <x:v>CB-GI-GILL-LOAD_PUKIS2-T2</x:v>
      </x:c>
      <x:c r="H38" s="20" t="str">
        <x:v>CN-GI-GILL-LOAD_PUKIS2-CB-DS</x:v>
      </x:c>
      <x:c r="I38" s="40" t="b">
        <x:v>0</x:v>
      </x:c>
      <x:c r="J38" s="20" t="str">
        <x:v>ASSUMED</x:v>
      </x:c>
      <x:c r="K38" s="34" t="n">
        <x:v>0.72</x:v>
      </x:c>
    </x:row>
    <x:row r="39">
      <x:c r="A39" s="20" t="str">
        <x:v>LOAD_PUKIS2</x:v>
      </x:c>
      <x:c r="B39" s="20" t="str">
        <x:v>GI-GILL-150-LOAD_PUKIS2-DS-EQ</x:v>
      </x:c>
      <x:c r="C39" s="20" t="str">
        <x:v>Disconnector</x:v>
      </x:c>
      <x:c r="D39" s="20" t="str">
        <x:v>DS EQUIPMENT LOAD PUKIS 2</x:v>
      </x:c>
      <x:c r="E39" s="20" t="str">
        <x:v>DS-GI-GILL-LOAD_PUKIS2-EQ-T1</x:v>
      </x:c>
      <x:c r="F39" s="20" t="str">
        <x:v>CN-GI-GILL-LOAD_PUKIS2-CB-DS</x:v>
      </x:c>
      <x:c r="G39" s="20" t="str">
        <x:v>DS-GI-GILL-LOAD_PUKIS2-EQ-T2</x:v>
      </x:c>
      <x:c r="H39" s="20" t="str">
        <x:v>CN-GI-GILL-LOAD_PUKIS2-EQUIPMENT</x:v>
      </x:c>
      <x:c r="I39" s="40" t="b">
        <x:v>0</x:v>
      </x:c>
      <x:c r="J39" s="20" t="str">
        <x:v>ASSUMED</x:v>
      </x:c>
      <x:c r="K39" s="34" t="n">
        <x:v>0.7</x:v>
      </x:c>
    </x:row>
    <x:row r="40">
      <x:c r="A40" s="20" t="str">
        <x:v>LOAD_PUKIS2</x:v>
      </x:c>
      <x:c r="B40" s="20" t="str">
        <x:v>GI-GILL-150-LOAD_PUKIS2</x:v>
      </x:c>
      <x:c r="C40" s="20" t="str">
        <x:v>ConformLoad</x:v>
      </x:c>
      <x:c r="D40" s="20" t="str">
        <x:v>LOAD PUKIS 2</x:v>
      </x:c>
      <x:c r="E40" s="20" t="str">
        <x:v>PRIMARY-GI-GILL-LOAD_PUKIS2-T1</x:v>
      </x:c>
      <x:c r="F40" s="20" t="str">
        <x:v>CN-GI-GILL-LOAD_PUKIS2-EQUIPMENT</x:v>
      </x:c>
      <x:c r="G40" s="20" t="str"/>
      <x:c r="H40" s="20" t="str"/>
      <x:c r="I40" s="20" t="str"/>
      <x:c r="J40" s="20" t="str">
        <x:v>SOURCE_NORMALIZED</x:v>
      </x:c>
      <x:c r="K40" s="34" t="n">
        <x:v>0.9</x:v>
      </x:c>
    </x:row>
  </x:sheetData>
  <x:mergeCells>
    <x:mergeCell ref="A1:K1"/>
    <x:mergeCell ref="A2:K2"/>
  </x:mergeCells>
  <x:conditionalFormatting sqref="K5:K4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f85425d72884a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58" hidden="0" customWidth="1"/>
    <x:col min="5" max="5" width="36" hidden="0" customWidth="1"/>
    <x:col min="6" max="6" width="22" hidden="0" customWidth="1"/>
    <x:col min="7" max="7" width="42" hidden="0" customWidth="1"/>
    <x:col min="8" max="8" width="12" hidden="0" customWidth="1"/>
    <x:col min="9" max="9" width="56" hidden="0" customWidth="1"/>
  </x:cols>
  <x:sheetData>
    <x:row r="1" ht="28" customHeight="1">
      <x:c r="A1" s="23" t="str">
        <x:v>Source-to-Canonical Mapping</x:v>
      </x:c>
      <x:c r="B1" s="23"/>
      <x:c r="C1" s="23"/>
      <x:c r="D1" s="23"/>
      <x:c r="E1" s="23"/>
      <x:c r="F1" s="23"/>
      <x:c r="G1" s="23"/>
      <x:c r="H1" s="23"/>
      <x:c r="I1" s="23"/>
    </x:row>
    <x:row r="2" ht="36" customHeight="1">
      <x:c r="A2" s="26" t="str">
        <x:v>Repeated hierarchy objects and bus-branch equipment are reconciled into one detailed substation model.</x:v>
      </x:c>
      <x:c r="B2" s="26"/>
      <x:c r="C2" s="26"/>
      <x:c r="D2" s="26"/>
      <x:c r="E2" s="26"/>
      <x:c r="F2" s="26"/>
      <x:c r="G2" s="26"/>
      <x:c r="H2" s="26"/>
      <x:c r="I2" s="26"/>
    </x:row>
    <x:row r="4" ht="30" customHeight="1">
      <x:c r="A4" s="30" t="str">
        <x:v>source_class</x:v>
      </x:c>
      <x:c r="B4" s="30" t="str">
        <x:v>source_mrid</x:v>
      </x:c>
      <x:c r="C4" s="30" t="str">
        <x:v>source_name</x:v>
      </x:c>
      <x:c r="D4" s="30" t="str">
        <x:v>source_description</x:v>
      </x:c>
      <x:c r="E4" s="30" t="str">
        <x:v>canonical_id</x:v>
      </x:c>
      <x:c r="F4" s="30" t="str">
        <x:v>mapping_status</x:v>
      </x:c>
      <x:c r="G4" s="30" t="str">
        <x:v>mapping_rule</x:v>
      </x:c>
      <x:c r="H4" s="30" t="str">
        <x:v>confidence</x:v>
      </x:c>
      <x:c r="I4" s="30" t="str">
        <x:v>notes</x:v>
      </x:c>
    </x:row>
    <x:row r="5">
      <x:c r="A5" s="20" t="str">
        <x:v>BusbarSection</x:v>
      </x:c>
      <x:c r="B5" s="20" t="str">
        <x:v>460b6e83-6e01-413f-aa70-6280bee4104a</x:v>
      </x:c>
      <x:c r="C5" s="20" t="str">
        <x:v>1</x:v>
      </x:c>
      <x:c r="D5" s="20" t="str">
        <x:v>BusbarSection_-_Busbar_Gill_-_GI_Gill_-_Grid_Iwa</x:v>
      </x:c>
      <x:c r="E5" s="20" t="str">
        <x:v>GI-GILL-150-BUS-MAIN</x:v>
      </x:c>
      <x:c r="F5" s="20" t="str">
        <x:v>NORMALIZED</x:v>
      </x:c>
      <x:c r="G5" s="20" t="str">
        <x:v>Exact Busbar_Gill semantic match</x:v>
      </x:c>
      <x:c r="H5" s="34" t="n">
        <x:v>0.99</x:v>
      </x:c>
      <x:c r="I5" s="20" t="str">
        <x:v>Busbar and its bus connectivity node are retained.</x:v>
      </x:c>
    </x:row>
    <x:row r="6">
      <x:c r="A6" s="20" t="str">
        <x:v>SynchronousMachine</x:v>
      </x:c>
      <x:c r="B6" s="20" t="str">
        <x:v>8fb0654a-7c2e-4b67-a157-734b68ef4eed</x:v>
      </x:c>
      <x:c r="C6" s="20" t="str">
        <x:v>2</x:v>
      </x:c>
      <x:c r="D6" s="20" t="str">
        <x:v>SynchronousMachine_-_Gen_Gill_-_GI_Gill_-_Grid_Iwa</x:v>
      </x:c>
      <x:c r="E6" s="20" t="str">
        <x:v>GI-GILL-150-GEN_GILL</x:v>
      </x:c>
      <x:c r="F6" s="20" t="str">
        <x:v>NORMALIZED</x:v>
      </x:c>
      <x:c r="G6" s="20" t="str">
        <x:v>One-to-one semantic equipment mapping</x:v>
      </x:c>
      <x:c r="H6" s="34" t="n">
        <x:v>0.9</x:v>
      </x:c>
      <x:c r="I6" s="20" t="str">
        <x:v>Direct bus connection is expanded into an internal bay topology.</x:v>
      </x:c>
    </x:row>
    <x:row r="7">
      <x:c r="A7" s="20" t="str">
        <x:v>Disconnector</x:v>
      </x:c>
      <x:c r="B7" s="20" t="str">
        <x:v>06ff0283-2b7d-4299-a349-3c172fcfa6d6</x:v>
      </x:c>
      <x:c r="C7" s="20" t="str">
        <x:v>Disconnector internal generator</x:v>
      </x:c>
      <x:c r="D7" s="20" t="str">
        <x:v>Disconnector Gen_Gill</x:v>
      </x:c>
      <x:c r="E7" s="20" t="str">
        <x:v>GI-GILL-150-GEN_GILL-DS-EQ</x:v>
      </x:c>
      <x:c r="F7" s="20" t="str">
        <x:v>CLASS_RECAST</x:v>
      </x:c>
      <x:c r="G7" s="20" t="str">
        <x:v>Source generator disconnector recast as two-terminal equipment-side DS</x:v>
      </x:c>
      <x:c r="H7" s="34" t="n">
        <x:v>0.68</x:v>
      </x:c>
      <x:c r="I7" s="20" t="str">
        <x:v>Source terminal numbering 2/3 is normalized to sequence 1/2.</x:v>
      </x:c>
    </x:row>
    <x:row r="8">
      <x:c r="A8" s="20" t="str">
        <x:v>PowerTransformer</x:v>
      </x:c>
      <x:c r="B8" s="20" t="str">
        <x:v>03243776-08fc-40f5-a180-c8179bccf17a</x:v>
      </x:c>
      <x:c r="C8" s="20" t="str">
        <x:v>3</x:v>
      </x:c>
      <x:c r="D8" s="20" t="str">
        <x:v>PowerTransformer_-_Trafo_Gill_-_GI_Gill_-_Grid_Iwa</x:v>
      </x:c>
      <x:c r="E8" s="20" t="str">
        <x:v>GI-GILL-150-TRF_GILL</x:v>
      </x:c>
      <x:c r="F8" s="20" t="str">
        <x:v>NORMALIZED</x:v>
      </x:c>
      <x:c r="G8" s="20" t="str">
        <x:v>One-to-one semantic equipment mapping</x:v>
      </x:c>
      <x:c r="H8" s="34" t="n">
        <x:v>0.9</x:v>
      </x:c>
      <x:c r="I8" s="20" t="str">
        <x:v>Direct bus connection is expanded into an internal bay topology.</x:v>
      </x:c>
    </x:row>
    <x:row r="9">
      <x:c r="A9" s="20" t="str">
        <x:v>ACLineSegment</x:v>
      </x:c>
      <x:c r="B9" s="20" t="str">
        <x:v>54e16534-67d2-4dfd-91f3-d2f2e85058a2</x:v>
      </x:c>
      <x:c r="C9" s="20" t="str">
        <x:v>4</x:v>
      </x:c>
      <x:c r="D9" s="20" t="str">
        <x:v>ACLineSegment_-_Line_Gill_-_GI_Gill_-_Grid_Iwa</x:v>
      </x:c>
      <x:c r="E9" s="20" t="str">
        <x:v>GI-GILL-150-LINE_GILL</x:v>
      </x:c>
      <x:c r="F9" s="20" t="str">
        <x:v>NORMALIZED</x:v>
      </x:c>
      <x:c r="G9" s="20" t="str">
        <x:v>One-to-one semantic equipment mapping</x:v>
      </x:c>
      <x:c r="H9" s="34" t="n">
        <x:v>0.9</x:v>
      </x:c>
      <x:c r="I9" s="20" t="str">
        <x:v>Direct bus connection is expanded into an internal bay topology.</x:v>
      </x:c>
    </x:row>
    <x:row r="10">
      <x:c r="A10" s="20" t="str">
        <x:v>ConformLoad</x:v>
      </x:c>
      <x:c r="B10" s="20" t="str">
        <x:v>5307dd06-d00b-4521-95d0-a456c852d7cc</x:v>
      </x:c>
      <x:c r="C10" s="20" t="str">
        <x:v>5</x:v>
      </x:c>
      <x:c r="D10" s="20" t="str">
        <x:v>ConformLoad_-_Load_Gill_-_GI_Gill_-_Grid_Iwa</x:v>
      </x:c>
      <x:c r="E10" s="20" t="str">
        <x:v>GI-GILL-150-LOAD_GILL</x:v>
      </x:c>
      <x:c r="F10" s="20" t="str">
        <x:v>NORMALIZED</x:v>
      </x:c>
      <x:c r="G10" s="20" t="str">
        <x:v>One-to-one semantic equipment mapping</x:v>
      </x:c>
      <x:c r="H10" s="34" t="n">
        <x:v>0.9</x:v>
      </x:c>
      <x:c r="I10" s="20" t="str">
        <x:v>Direct bus connection is expanded into an internal bay topology.</x:v>
      </x:c>
    </x:row>
    <x:row r="11">
      <x:c r="A11" s="20" t="str">
        <x:v>SynchronousMachine</x:v>
      </x:c>
      <x:c r="B11" s="20" t="str">
        <x:v>dd1040cd-7825-40e2-99e2-9c09aeff4b72</x:v>
      </x:c>
      <x:c r="C11" s="20" t="str">
        <x:v>6</x:v>
      </x:c>
      <x:c r="D11" s="20" t="str">
        <x:v>SynchronousMachine_-_Gen_Pukis_-_GI_Gill_-_Grid_Iwa</x:v>
      </x:c>
      <x:c r="E11" s="20" t="str">
        <x:v>GI-GILL-150-GEN_PUKIS</x:v>
      </x:c>
      <x:c r="F11" s="20" t="str">
        <x:v>NORMALIZED</x:v>
      </x:c>
      <x:c r="G11" s="20" t="str">
        <x:v>One-to-one semantic equipment mapping</x:v>
      </x:c>
      <x:c r="H11" s="34" t="n">
        <x:v>0.9</x:v>
      </x:c>
      <x:c r="I11" s="20" t="str">
        <x:v>Direct bus connection is expanded into an internal bay topology.</x:v>
      </x:c>
    </x:row>
    <x:row r="12">
      <x:c r="A12" s="20" t="str">
        <x:v>Disconnector</x:v>
      </x:c>
      <x:c r="B12" s="20" t="str">
        <x:v>b2f3994d-04ff-4740-8e9d-ec4361ff94b4</x:v>
      </x:c>
      <x:c r="C12" s="20" t="str">
        <x:v>Disconnector internal generator</x:v>
      </x:c>
      <x:c r="D12" s="20" t="str">
        <x:v>Disconnector Gen_Pukis</x:v>
      </x:c>
      <x:c r="E12" s="20" t="str">
        <x:v>GI-GILL-150-GEN_PUKIS-DS-EQ</x:v>
      </x:c>
      <x:c r="F12" s="20" t="str">
        <x:v>CLASS_RECAST</x:v>
      </x:c>
      <x:c r="G12" s="20" t="str">
        <x:v>Source generator disconnector recast as two-terminal equipment-side DS</x:v>
      </x:c>
      <x:c r="H12" s="34" t="n">
        <x:v>0.68</x:v>
      </x:c>
      <x:c r="I12" s="20" t="str">
        <x:v>Source terminal numbering 2/3 is normalized to sequence 1/2.</x:v>
      </x:c>
    </x:row>
    <x:row r="13">
      <x:c r="A13" s="20" t="str">
        <x:v>PowerTransformer</x:v>
      </x:c>
      <x:c r="B13" s="20" t="str">
        <x:v>14393b6d-4323-4808-9a2d-cda47109cd5b</x:v>
      </x:c>
      <x:c r="C13" s="20" t="str">
        <x:v>7</x:v>
      </x:c>
      <x:c r="D13" s="20" t="str">
        <x:v>PowerTransformer_-_Trafo_Pukis_-_GI_Gill_-_Grid_Iwa</x:v>
      </x:c>
      <x:c r="E13" s="20" t="str">
        <x:v>GI-GILL-150-TRF_PUKIS</x:v>
      </x:c>
      <x:c r="F13" s="20" t="str">
        <x:v>NORMALIZED</x:v>
      </x:c>
      <x:c r="G13" s="20" t="str">
        <x:v>One-to-one semantic equipment mapping</x:v>
      </x:c>
      <x:c r="H13" s="34" t="n">
        <x:v>0.9</x:v>
      </x:c>
      <x:c r="I13" s="20" t="str">
        <x:v>Direct bus connection is expanded into an internal bay topology.</x:v>
      </x:c>
    </x:row>
    <x:row r="14">
      <x:c r="A14" s="20" t="str">
        <x:v>ACLineSegment</x:v>
      </x:c>
      <x:c r="B14" s="20" t="str">
        <x:v>d4e4667a-800d-4b3c-a4c7-39086563ea56</x:v>
      </x:c>
      <x:c r="C14" s="20" t="str">
        <x:v>8</x:v>
      </x:c>
      <x:c r="D14" s="20" t="str">
        <x:v>ACLineSegment_-_Line_Pukis_-_GI_Gill_-_Grid_Iwa</x:v>
      </x:c>
      <x:c r="E14" s="20" t="str">
        <x:v>GI-GILL-150-LINE_PUKIS</x:v>
      </x:c>
      <x:c r="F14" s="20" t="str">
        <x:v>NORMALIZED</x:v>
      </x:c>
      <x:c r="G14" s="20" t="str">
        <x:v>One-to-one semantic equipment mapping</x:v>
      </x:c>
      <x:c r="H14" s="34" t="n">
        <x:v>0.9</x:v>
      </x:c>
      <x:c r="I14" s="20" t="str">
        <x:v>Direct bus connection is expanded into an internal bay topology.</x:v>
      </x:c>
    </x:row>
    <x:row r="15">
      <x:c r="A15" s="20" t="str">
        <x:v>ConformLoad</x:v>
      </x:c>
      <x:c r="B15" s="20" t="str">
        <x:v>064497e7-05e6-49f9-8292-98b542f72cb0</x:v>
      </x:c>
      <x:c r="C15" s="20" t="str">
        <x:v>9</x:v>
      </x:c>
      <x:c r="D15" s="20" t="str">
        <x:v>ConformLoad_-_Load_Pukis1_-_GI_Gill_-_Grid_Iwa</x:v>
      </x:c>
      <x:c r="E15" s="20" t="str">
        <x:v>GI-GILL-150-LOAD_PUKIS1</x:v>
      </x:c>
      <x:c r="F15" s="20" t="str">
        <x:v>NORMALIZED</x:v>
      </x:c>
      <x:c r="G15" s="20" t="str">
        <x:v>One-to-one semantic equipment mapping</x:v>
      </x:c>
      <x:c r="H15" s="34" t="n">
        <x:v>0.9</x:v>
      </x:c>
      <x:c r="I15" s="20" t="str">
        <x:v>Direct bus connection is expanded into an internal bay topology.</x:v>
      </x:c>
    </x:row>
    <x:row r="16">
      <x:c r="A16" s="20" t="str">
        <x:v>ConformLoad</x:v>
      </x:c>
      <x:c r="B16" s="20" t="str">
        <x:v>16eadad8-7b0c-4416-ac5f-afb09c7a685e</x:v>
      </x:c>
      <x:c r="C16" s="20" t="str">
        <x:v>10</x:v>
      </x:c>
      <x:c r="D16" s="20" t="str">
        <x:v>ConformLoad_-_Load_Pukis2_-_GI_Gill_-_Grid_Iwa</x:v>
      </x:c>
      <x:c r="E16" s="20" t="str">
        <x:v>GI-GILL-150-LOAD_PUKIS2</x:v>
      </x:c>
      <x:c r="F16" s="20" t="str">
        <x:v>NORMALIZED</x:v>
      </x:c>
      <x:c r="G16" s="20" t="str">
        <x:v>One-to-one semantic equipment mapping</x:v>
      </x:c>
      <x:c r="H16" s="34" t="n">
        <x:v>0.9</x:v>
      </x:c>
      <x:c r="I16" s="20" t="str">
        <x:v>Direct bus connection is expanded into an internal bay topology.</x:v>
      </x:c>
    </x:row>
    <x:row r="17">
      <x:c r="A17" s="20" t="str">
        <x:v>Substation</x:v>
      </x:c>
      <x:c r="B17" s="20" t="str">
        <x:v>b9aa7a4f-2619-45b1-aadf-98b9f1a1d18a</x:v>
      </x:c>
      <x:c r="C17" s="20" t="str">
        <x:v>GI_Gill</x:v>
      </x:c>
      <x:c r="D17" s="20" t="str">
        <x:v>Substation Busbar_Gill</x:v>
      </x:c>
      <x:c r="E17" s="20" t="str">
        <x:v>SUB-GI-GILL</x:v>
      </x:c>
      <x:c r="F17" s="20" t="str">
        <x:v>MERGED_ALIAS</x:v>
      </x:c>
      <x:c r="G17" s="20" t="str">
        <x:v>Repeated substation name GI_Gill</x:v>
      </x:c>
      <x:c r="H17" s="34" t="n">
        <x:v>0.98</x:v>
      </x:c>
      <x:c r="I17" s="20" t="str">
        <x:v>All equipment-specific Substation objects collapse into one canonical GI.</x:v>
      </x:c>
    </x:row>
    <x:row r="18">
      <x:c r="A18" s="20" t="str">
        <x:v>Substation</x:v>
      </x:c>
      <x:c r="B18" s="20" t="str">
        <x:v>53d60536-cfa4-43cc-9de8-f5918630e3374</x:v>
      </x:c>
      <x:c r="C18" s="20" t="str">
        <x:v>GI_Gill</x:v>
      </x:c>
      <x:c r="D18" s="20" t="str">
        <x:v>Substation Gen_Gill</x:v>
      </x:c>
      <x:c r="E18" s="20" t="str">
        <x:v>SUB-GI-GILL</x:v>
      </x:c>
      <x:c r="F18" s="20" t="str">
        <x:v>MERGED_ALIAS</x:v>
      </x:c>
      <x:c r="G18" s="20" t="str">
        <x:v>Repeated substation name GI_Gill</x:v>
      </x:c>
      <x:c r="H18" s="34" t="n">
        <x:v>0.98</x:v>
      </x:c>
      <x:c r="I18" s="20" t="str">
        <x:v>All equipment-specific Substation objects collapse into one canonical GI.</x:v>
      </x:c>
    </x:row>
    <x:row r="19">
      <x:c r="A19" s="20" t="str">
        <x:v>Substation</x:v>
      </x:c>
      <x:c r="B19" s="20" t="str">
        <x:v>8c4683cc-e989-4d46-b3a2-6ac132bba87b2</x:v>
      </x:c>
      <x:c r="C19" s="20" t="str">
        <x:v>GI_Gill</x:v>
      </x:c>
      <x:c r="D19" s="20" t="str">
        <x:v>Substation Trafo_Gill</x:v>
      </x:c>
      <x:c r="E19" s="20" t="str">
        <x:v>SUB-GI-GILL</x:v>
      </x:c>
      <x:c r="F19" s="20" t="str">
        <x:v>MERGED_ALIAS</x:v>
      </x:c>
      <x:c r="G19" s="20" t="str">
        <x:v>Repeated substation name GI_Gill</x:v>
      </x:c>
      <x:c r="H19" s="34" t="n">
        <x:v>0.98</x:v>
      </x:c>
      <x:c r="I19" s="20" t="str">
        <x:v>All equipment-specific Substation objects collapse into one canonical GI.</x:v>
      </x:c>
    </x:row>
    <x:row r="20">
      <x:c r="A20" s="20" t="str">
        <x:v>Substation</x:v>
      </x:c>
      <x:c r="B20" s="20" t="str">
        <x:v>9f020e61-68ec-44c3-9ee4-38edf1c7c17d</x:v>
      </x:c>
      <x:c r="C20" s="20" t="str">
        <x:v>GI_Gill</x:v>
      </x:c>
      <x:c r="D20" s="20" t="str">
        <x:v>Substation Line_Gill</x:v>
      </x:c>
      <x:c r="E20" s="20" t="str">
        <x:v>SUB-GI-GILL</x:v>
      </x:c>
      <x:c r="F20" s="20" t="str">
        <x:v>MERGED_ALIAS</x:v>
      </x:c>
      <x:c r="G20" s="20" t="str">
        <x:v>Repeated substation name GI_Gill</x:v>
      </x:c>
      <x:c r="H20" s="34" t="n">
        <x:v>0.98</x:v>
      </x:c>
      <x:c r="I20" s="20" t="str">
        <x:v>All equipment-specific Substation objects collapse into one canonical GI.</x:v>
      </x:c>
    </x:row>
    <x:row r="21">
      <x:c r="A21" s="20" t="str">
        <x:v>Substation</x:v>
      </x:c>
      <x:c r="B21" s="20" t="str">
        <x:v>b402ce06-4314-4859-a916-97753360a3e1</x:v>
      </x:c>
      <x:c r="C21" s="20" t="str">
        <x:v>GI_Gill</x:v>
      </x:c>
      <x:c r="D21" s="20" t="str">
        <x:v>Substation Load_Gill</x:v>
      </x:c>
      <x:c r="E21" s="20" t="str">
        <x:v>SUB-GI-GILL</x:v>
      </x:c>
      <x:c r="F21" s="20" t="str">
        <x:v>MERGED_ALIAS</x:v>
      </x:c>
      <x:c r="G21" s="20" t="str">
        <x:v>Repeated substation name GI_Gill</x:v>
      </x:c>
      <x:c r="H21" s="34" t="n">
        <x:v>0.98</x:v>
      </x:c>
      <x:c r="I21" s="20" t="str">
        <x:v>All equipment-specific Substation objects collapse into one canonical GI.</x:v>
      </x:c>
    </x:row>
    <x:row r="22">
      <x:c r="A22" s="20" t="str">
        <x:v>Substation</x:v>
      </x:c>
      <x:c r="B22" s="20" t="str">
        <x:v>ce6fafa1-6993-44d8-921a-a2633a4b20fe4</x:v>
      </x:c>
      <x:c r="C22" s="20" t="str">
        <x:v>GI_Gill</x:v>
      </x:c>
      <x:c r="D22" s="20" t="str">
        <x:v>Substation Gen_Pukis</x:v>
      </x:c>
      <x:c r="E22" s="20" t="str">
        <x:v>SUB-GI-GILL</x:v>
      </x:c>
      <x:c r="F22" s="20" t="str">
        <x:v>MERGED_ALIAS</x:v>
      </x:c>
      <x:c r="G22" s="20" t="str">
        <x:v>Repeated substation name GI_Gill</x:v>
      </x:c>
      <x:c r="H22" s="34" t="n">
        <x:v>0.98</x:v>
      </x:c>
      <x:c r="I22" s="20" t="str">
        <x:v>All equipment-specific Substation objects collapse into one canonical GI.</x:v>
      </x:c>
    </x:row>
    <x:row r="23">
      <x:c r="A23" s="20" t="str">
        <x:v>Substation</x:v>
      </x:c>
      <x:c r="B23" s="20" t="str">
        <x:v>95bb0a0f-0dfe-4eb9-a028-cafd8f6c88c02</x:v>
      </x:c>
      <x:c r="C23" s="20" t="str">
        <x:v>GI_Gill</x:v>
      </x:c>
      <x:c r="D23" s="20" t="str">
        <x:v>Substation Trafo_Pukis</x:v>
      </x:c>
      <x:c r="E23" s="20" t="str">
        <x:v>SUB-GI-GILL</x:v>
      </x:c>
      <x:c r="F23" s="20" t="str">
        <x:v>MERGED_ALIAS</x:v>
      </x:c>
      <x:c r="G23" s="20" t="str">
        <x:v>Repeated substation name GI_Gill</x:v>
      </x:c>
      <x:c r="H23" s="34" t="n">
        <x:v>0.98</x:v>
      </x:c>
      <x:c r="I23" s="20" t="str">
        <x:v>All equipment-specific Substation objects collapse into one canonical GI.</x:v>
      </x:c>
    </x:row>
    <x:row r="24">
      <x:c r="A24" s="20" t="str">
        <x:v>Substation</x:v>
      </x:c>
      <x:c r="B24" s="20" t="str">
        <x:v>9b5192dc-dacd-4176-b0c8-a13cd3ea2ee7</x:v>
      </x:c>
      <x:c r="C24" s="20" t="str">
        <x:v>GI_Gill</x:v>
      </x:c>
      <x:c r="D24" s="20" t="str">
        <x:v>Substation Line_Pukis</x:v>
      </x:c>
      <x:c r="E24" s="20" t="str">
        <x:v>SUB-GI-GILL</x:v>
      </x:c>
      <x:c r="F24" s="20" t="str">
        <x:v>MERGED_ALIAS</x:v>
      </x:c>
      <x:c r="G24" s="20" t="str">
        <x:v>Repeated substation name GI_Gill</x:v>
      </x:c>
      <x:c r="H24" s="34" t="n">
        <x:v>0.98</x:v>
      </x:c>
      <x:c r="I24" s="20" t="str">
        <x:v>All equipment-specific Substation objects collapse into one canonical GI.</x:v>
      </x:c>
    </x:row>
    <x:row r="25">
      <x:c r="A25" s="20" t="str">
        <x:v>Substation</x:v>
      </x:c>
      <x:c r="B25" s="20" t="str">
        <x:v>628ec0c4-3ecf-4266-b9c6-d045a8887278</x:v>
      </x:c>
      <x:c r="C25" s="20" t="str">
        <x:v>GI_Gill</x:v>
      </x:c>
      <x:c r="D25" s="20" t="str">
        <x:v>Substation Load_Pukis1</x:v>
      </x:c>
      <x:c r="E25" s="20" t="str">
        <x:v>SUB-GI-GILL</x:v>
      </x:c>
      <x:c r="F25" s="20" t="str">
        <x:v>MERGED_ALIAS</x:v>
      </x:c>
      <x:c r="G25" s="20" t="str">
        <x:v>Repeated substation name GI_Gill</x:v>
      </x:c>
      <x:c r="H25" s="34" t="n">
        <x:v>0.98</x:v>
      </x:c>
      <x:c r="I25" s="20" t="str">
        <x:v>All equipment-specific Substation objects collapse into one canonical GI.</x:v>
      </x:c>
    </x:row>
    <x:row r="26">
      <x:c r="A26" s="20" t="str">
        <x:v>Substation</x:v>
      </x:c>
      <x:c r="B26" s="20" t="str">
        <x:v>6a6408f9-30da-405e-8925-226a0ba21d9a</x:v>
      </x:c>
      <x:c r="C26" s="20" t="str">
        <x:v>GI_Gill</x:v>
      </x:c>
      <x:c r="D26" s="20" t="str">
        <x:v>Substation Load_Pukis2</x:v>
      </x:c>
      <x:c r="E26" s="20" t="str">
        <x:v>SUB-GI-GILL</x:v>
      </x:c>
      <x:c r="F26" s="20" t="str">
        <x:v>MERGED_ALIAS</x:v>
      </x:c>
      <x:c r="G26" s="20" t="str">
        <x:v>Repeated substation name GI_Gill</x:v>
      </x:c>
      <x:c r="H26" s="34" t="n">
        <x:v>0.98</x:v>
      </x:c>
      <x:c r="I26" s="20" t="str">
        <x:v>All equipment-specific Substation objects collapse into one canonical GI.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112ea0fb1fe45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8" hidden="0" customWidth="1"/>
    <x:col min="4" max="4" width="24" hidden="0" customWidth="1"/>
    <x:col min="5" max="5" width="15" hidden="0" customWidth="1"/>
    <x:col min="6" max="6" width="16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56" hidden="0" customWidth="1"/>
  </x:cols>
  <x:sheetData>
    <x:row r="1" ht="28" customHeight="1">
      <x:c r="A1" s="23" t="str">
        <x:v>Retained Source Electrical Data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</x:row>
    <x:row r="2" ht="36" customHeight="1">
      <x:c r="A2" s="26" t="str">
        <x:v>Values are retained from the focused XML. This sheet separates retained values from topology assumptions.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</x:row>
    <x:row r="4" ht="30" customHeight="1">
      <x:c r="A4" s="30" t="str">
        <x:v>bay</x:v>
      </x:c>
      <x:c r="B4" s="30" t="str">
        <x:v>source_mrid</x:v>
      </x:c>
      <x:c r="C4" s="30" t="str">
        <x:v>equipment</x:v>
      </x:c>
      <x:c r="D4" s="30" t="str">
        <x:v>class</x:v>
      </x:c>
      <x:c r="E4" s="30" t="str">
        <x:v>rated_u_kv</x:v>
      </x:c>
      <x:c r="F4" s="30" t="str">
        <x:v>rated_s_mva</x:v>
      </x:c>
      <x:c r="G4" s="30" t="str">
        <x:v>p_mw</x:v>
      </x:c>
      <x:c r="H4" s="30" t="str">
        <x:v>q_mvar</x:v>
      </x:c>
      <x:c r="I4" s="30" t="str">
        <x:v>r</x:v>
      </x:c>
      <x:c r="J4" s="30" t="str">
        <x:v>x</x:v>
      </x:c>
      <x:c r="K4" s="30" t="str">
        <x:v>b_or_bch</x:v>
      </x:c>
      <x:c r="L4" s="30" t="str">
        <x:v>g_or_gch</x:v>
      </x:c>
      <x:c r="M4" s="30" t="str">
        <x:v>length_km</x:v>
      </x:c>
      <x:c r="N4" s="30" t="str">
        <x:v>status</x:v>
      </x:c>
      <x:c r="O4" s="30" t="str">
        <x:v>review_note</x:v>
      </x:c>
    </x:row>
    <x:row r="5">
      <x:c r="A5" s="20" t="str">
        <x:v>GEN_GILL</x:v>
      </x:c>
      <x:c r="B5" s="20" t="str">
        <x:v>8fb0654a-7c2e-4b67-a157-734b68ef4eed</x:v>
      </x:c>
      <x:c r="C5" s="20" t="str">
        <x:v>GEN GILL</x:v>
      </x:c>
      <x:c r="D5" s="20" t="str">
        <x:v>SynchronousMachine</x:v>
      </x:c>
      <x:c r="E5" s="20" t="n">
        <x:v>150</x:v>
      </x:c>
      <x:c r="F5" s="20" t="n">
        <x:v>100</x:v>
      </x:c>
      <x:c r="G5" s="20" t="str"/>
      <x:c r="H5" s="20" t="str">
        <x:v>-100.0 to 100.0</x:v>
      </x:c>
      <x:c r="I5" s="20" t="str"/>
      <x:c r="J5" s="20" t="str"/>
      <x:c r="K5" s="20" t="str"/>
      <x:c r="L5" s="20" t="str"/>
      <x:c r="M5" s="20" t="str"/>
      <x:c r="N5" s="20" t="str">
        <x:v>SOURCE_RETAINED</x:v>
      </x:c>
      <x:c r="O5" s="20" t="str">
        <x:v>Generator ratings are sample values from the focused XML.</x:v>
      </x:c>
    </x:row>
    <x:row r="6">
      <x:c r="A6" s="20" t="str">
        <x:v>TRF_GILL</x:v>
      </x:c>
      <x:c r="B6" s="20" t="str">
        <x:v>03243776-08fc-40f5-a180-c8179bccf17a</x:v>
      </x:c>
      <x:c r="C6" s="20" t="str">
        <x:v>TRAFO GILL</x:v>
      </x:c>
      <x:c r="D6" s="20" t="str">
        <x:v>PowerTransformer</x:v>
      </x:c>
      <x:c r="E6" s="20" t="str">
        <x:v>150.0 / 150.0</x:v>
      </x:c>
      <x:c r="F6" s="20" t="str">
        <x:v>50.0 / 50.0</x:v>
      </x:c>
      <x:c r="G6" s="20" t="str"/>
      <x:c r="H6" s="20" t="str"/>
      <x:c r="I6" s="20" t="str">
        <x:v>0.0 / 0.0</x:v>
      </x:c>
      <x:c r="J6" s="20" t="str">
        <x:v>13.5 / 0.0</x:v>
      </x:c>
      <x:c r="K6" s="20" t="str"/>
      <x:c r="L6" s="20" t="str"/>
      <x:c r="M6" s="20" t="str"/>
      <x:c r="N6" s="20" t="str">
        <x:v>SOURCE_CONFLICT_REVIEW</x:v>
      </x:c>
      <x:c r="O6" s="20" t="str">
        <x:v>Both transformer ends are 150 kV in source; actual ratio requires confirmation.</x:v>
      </x:c>
    </x:row>
    <x:row r="7">
      <x:c r="A7" s="20" t="str">
        <x:v>LINE_GILL</x:v>
      </x:c>
      <x:c r="B7" s="20" t="str">
        <x:v>54e16534-67d2-4dfd-91f3-d2f2e85058a2</x:v>
      </x:c>
      <x:c r="C7" s="20" t="str">
        <x:v>LINE GILL</x:v>
      </x:c>
      <x:c r="D7" s="20" t="str">
        <x:v>ACLineSegment</x:v>
      </x:c>
      <x:c r="E7" s="20" t="str"/>
      <x:c r="F7" s="20" t="str"/>
      <x:c r="G7" s="20" t="str"/>
      <x:c r="H7" s="20" t="str"/>
      <x:c r="I7" s="20" t="n">
        <x:v>0</x:v>
      </x:c>
      <x:c r="J7" s="20" t="n">
        <x:v>10</x:v>
      </x:c>
      <x:c r="K7" s="20" t="n">
        <x:v>0</x:v>
      </x:c>
      <x:c r="L7" s="20" t="n">
        <x:v>0</x:v>
      </x:c>
      <x:c r="M7" s="20" t="n">
        <x:v>5</x:v>
      </x:c>
      <x:c r="N7" s="20" t="str">
        <x:v>SOURCE_RETAINED</x:v>
      </x:c>
      <x:c r="O7" s="20" t="str">
        <x:v>Units and realism must be confirmed before study use.</x:v>
      </x:c>
    </x:row>
    <x:row r="8">
      <x:c r="A8" s="20" t="str">
        <x:v>LOAD_GILL</x:v>
      </x:c>
      <x:c r="B8" s="20" t="str">
        <x:v>5307dd06-d00b-4521-95d0-a456c852d7cc</x:v>
      </x:c>
      <x:c r="C8" s="20" t="str">
        <x:v>LOAD GILL</x:v>
      </x:c>
      <x:c r="D8" s="20" t="str">
        <x:v>ConformLoad</x:v>
      </x:c>
      <x:c r="E8" s="20" t="str"/>
      <x:c r="F8" s="20" t="str"/>
      <x:c r="G8" s="20" t="n">
        <x:v>40</x:v>
      </x:c>
      <x:c r="H8" s="20" t="n">
        <x:v>20</x:v>
      </x:c>
      <x:c r="I8" s="20" t="str"/>
      <x:c r="J8" s="20" t="str"/>
      <x:c r="K8" s="20" t="str"/>
      <x:c r="L8" s="20" t="str"/>
      <x:c r="M8" s="20" t="str"/>
      <x:c r="N8" s="20" t="str">
        <x:v>SOURCE_RETAINED</x:v>
      </x:c>
      <x:c r="O8" s="20" t="str">
        <x:v>Fixed load values are retained.</x:v>
      </x:c>
    </x:row>
    <x:row r="9">
      <x:c r="A9" s="20" t="str">
        <x:v>GEN_PUKIS</x:v>
      </x:c>
      <x:c r="B9" s="20" t="str">
        <x:v>dd1040cd-7825-40e2-99e2-9c09aeff4b72</x:v>
      </x:c>
      <x:c r="C9" s="20" t="str">
        <x:v>GEN PUKIS</x:v>
      </x:c>
      <x:c r="D9" s="20" t="str">
        <x:v>SynchronousMachine</x:v>
      </x:c>
      <x:c r="E9" s="20" t="n">
        <x:v>150</x:v>
      </x:c>
      <x:c r="F9" s="20" t="n">
        <x:v>50</x:v>
      </x:c>
      <x:c r="G9" s="20" t="str"/>
      <x:c r="H9" s="20" t="str">
        <x:v>-50.0 to 50.0</x:v>
      </x:c>
      <x:c r="I9" s="20" t="str"/>
      <x:c r="J9" s="20" t="str"/>
      <x:c r="K9" s="20" t="str"/>
      <x:c r="L9" s="20" t="str"/>
      <x:c r="M9" s="20" t="str"/>
      <x:c r="N9" s="20" t="str">
        <x:v>SOURCE_RETAINED</x:v>
      </x:c>
      <x:c r="O9" s="20" t="str">
        <x:v>Generator ratings are sample values from the focused XML.</x:v>
      </x:c>
    </x:row>
    <x:row r="10">
      <x:c r="A10" s="20" t="str">
        <x:v>TRF_PUKIS</x:v>
      </x:c>
      <x:c r="B10" s="20" t="str">
        <x:v>14393b6d-4323-4808-9a2d-cda47109cd5b</x:v>
      </x:c>
      <x:c r="C10" s="20" t="str">
        <x:v>TRAFO PUKIS</x:v>
      </x:c>
      <x:c r="D10" s="20" t="str">
        <x:v>PowerTransformer</x:v>
      </x:c>
      <x:c r="E10" s="20" t="str">
        <x:v>150.0 / 150.0</x:v>
      </x:c>
      <x:c r="F10" s="20" t="str">
        <x:v>20.0 / 20.0</x:v>
      </x:c>
      <x:c r="G10" s="20" t="str"/>
      <x:c r="H10" s="20" t="str"/>
      <x:c r="I10" s="20" t="str">
        <x:v>0.0 / 0.0</x:v>
      </x:c>
      <x:c r="J10" s="20" t="str">
        <x:v>0.6 / 0.0</x:v>
      </x:c>
      <x:c r="K10" s="20" t="str"/>
      <x:c r="L10" s="20" t="str"/>
      <x:c r="M10" s="20" t="str"/>
      <x:c r="N10" s="20" t="str">
        <x:v>SOURCE_CONFLICT_REVIEW</x:v>
      </x:c>
      <x:c r="O10" s="20" t="str">
        <x:v>Both transformer ends are 150 kV in source; actual ratio requires confirmation.</x:v>
      </x:c>
    </x:row>
    <x:row r="11">
      <x:c r="A11" s="20" t="str">
        <x:v>LINE_PUKIS</x:v>
      </x:c>
      <x:c r="B11" s="20" t="str">
        <x:v>d4e4667a-800d-4b3c-a4c7-39086563ea56</x:v>
      </x:c>
      <x:c r="C11" s="20" t="str">
        <x:v>LINE PUKIS</x:v>
      </x:c>
      <x:c r="D11" s="20" t="str">
        <x:v>ACLineSegment</x:v>
      </x:c>
      <x:c r="E11" s="20" t="str"/>
      <x:c r="F11" s="20" t="str"/>
      <x:c r="G11" s="20" t="str"/>
      <x:c r="H11" s="20" t="str"/>
      <x:c r="I11" s="20" t="n">
        <x:v>0</x:v>
      </x:c>
      <x:c r="J11" s="20" t="n">
        <x:v>0</x:v>
      </x:c>
      <x:c r="K11" s="20" t="n">
        <x:v>0</x:v>
      </x:c>
      <x:c r="L11" s="20" t="n">
        <x:v>0</x:v>
      </x:c>
      <x:c r="M11" s="20" t="n">
        <x:v>3</x:v>
      </x:c>
      <x:c r="N11" s="20" t="str">
        <x:v>SOURCE_RETAINED</x:v>
      </x:c>
      <x:c r="O11" s="20" t="str">
        <x:v>Units and realism must be confirmed before study use.</x:v>
      </x:c>
    </x:row>
    <x:row r="12">
      <x:c r="A12" s="20" t="str">
        <x:v>LOAD_PUKIS1</x:v>
      </x:c>
      <x:c r="B12" s="20" t="str">
        <x:v>064497e7-05e6-49f9-8292-98b542f72cb0</x:v>
      </x:c>
      <x:c r="C12" s="20" t="str">
        <x:v>LOAD PUKIS 1</x:v>
      </x:c>
      <x:c r="D12" s="20" t="str">
        <x:v>ConformLoad</x:v>
      </x:c>
      <x:c r="E12" s="20" t="str"/>
      <x:c r="F12" s="20" t="str"/>
      <x:c r="G12" s="20" t="n">
        <x:v>20</x:v>
      </x:c>
      <x:c r="H12" s="20" t="n">
        <x:v>10</x:v>
      </x:c>
      <x:c r="I12" s="20" t="str"/>
      <x:c r="J12" s="20" t="str"/>
      <x:c r="K12" s="20" t="str"/>
      <x:c r="L12" s="20" t="str"/>
      <x:c r="M12" s="20" t="str"/>
      <x:c r="N12" s="20" t="str">
        <x:v>SOURCE_RETAINED</x:v>
      </x:c>
      <x:c r="O12" s="20" t="str">
        <x:v>Fixed load values are retained.</x:v>
      </x:c>
    </x:row>
    <x:row r="13">
      <x:c r="A13" s="20" t="str">
        <x:v>LOAD_PUKIS2</x:v>
      </x:c>
      <x:c r="B13" s="20" t="str">
        <x:v>16eadad8-7b0c-4416-ac5f-afb09c7a685e</x:v>
      </x:c>
      <x:c r="C13" s="20" t="str">
        <x:v>LOAD PUKIS 2</x:v>
      </x:c>
      <x:c r="D13" s="20" t="str">
        <x:v>ConformLoad</x:v>
      </x:c>
      <x:c r="E13" s="20" t="str"/>
      <x:c r="F13" s="20" t="str"/>
      <x:c r="G13" s="20" t="n">
        <x:v>10</x:v>
      </x:c>
      <x:c r="H13" s="20" t="n">
        <x:v>5</x:v>
      </x:c>
      <x:c r="I13" s="20" t="str"/>
      <x:c r="J13" s="20" t="str"/>
      <x:c r="K13" s="20" t="str"/>
      <x:c r="L13" s="20" t="str"/>
      <x:c r="M13" s="20" t="str"/>
      <x:c r="N13" s="20" t="str">
        <x:v>SOURCE_RETAINED</x:v>
      </x:c>
      <x:c r="O13" s="20" t="str">
        <x:v>Fixed load values are retained.</x:v>
      </x:c>
    </x:row>
  </x:sheetData>
  <x:mergeCells>
    <x:mergeCell ref="A1:O1"/>
    <x:mergeCell ref="A2:O2"/>
  </x:mergeCells>
  <x:conditionalFormatting sqref="N5:N13">
    <x:cfRule type="expression" dxfId="0" priority="1">
      <x:formula>N5="SOURCE_CONFLICT_REVIEW"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9926d911b741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30" hidden="0" customWidth="1"/>
    <x:col min="5" max="5" width="58" hidden="0" customWidth="1"/>
    <x:col min="6" max="6" width="58" hidden="0" customWidth="1"/>
    <x:col min="7" max="7" width="12" hidden="0" customWidth="1"/>
    <x:col min="8" max="8" width="18" hidden="0" customWidth="1"/>
    <x:col min="9" max="9" width="52" hidden="0" customWidth="1"/>
  </x:cols>
  <x:sheetData>
    <x:row r="1" ht="28" customHeight="1">
      <x:c r="A1" s="23" t="str">
        <x:v>Assumption and Review Log</x:v>
      </x:c>
      <x:c r="B1" s="23"/>
      <x:c r="C1" s="23"/>
      <x:c r="D1" s="23"/>
      <x:c r="E1" s="23"/>
      <x:c r="F1" s="23"/>
      <x:c r="G1" s="23"/>
      <x:c r="H1" s="23"/>
      <x:c r="I1" s="23"/>
    </x:row>
    <x:row r="2" ht="36" customHeight="1">
      <x:c r="A2" s="26" t="str">
        <x:v>All inserted CB/DS and unresolved modelling choices are explicitly registered.</x:v>
      </x:c>
      <x:c r="B2" s="26"/>
      <x:c r="C2" s="26"/>
      <x:c r="D2" s="26"/>
      <x:c r="E2" s="26"/>
      <x:c r="F2" s="26"/>
      <x:c r="G2" s="26"/>
      <x:c r="H2" s="26"/>
      <x:c r="I2" s="26"/>
    </x:row>
    <x:row r="4" ht="30" customHeight="1">
      <x:c r="A4" s="30" t="str">
        <x:v>assumption_id</x:v>
      </x:c>
      <x:c r="B4" s="30" t="str">
        <x:v>category</x:v>
      </x:c>
      <x:c r="C4" s="30" t="str">
        <x:v>object</x:v>
      </x:c>
      <x:c r="D4" s="30" t="str">
        <x:v>field</x:v>
      </x:c>
      <x:c r="E4" s="30" t="str">
        <x:v>assumed_value</x:v>
      </x:c>
      <x:c r="F4" s="30" t="str">
        <x:v>basis</x:v>
      </x:c>
      <x:c r="G4" s="30" t="str">
        <x:v>confidence</x:v>
      </x:c>
      <x:c r="H4" s="30" t="str">
        <x:v>review_required</x:v>
      </x:c>
      <x:c r="I4" s="30" t="str">
        <x:v>impact</x:v>
      </x:c>
    </x:row>
    <x:row r="5">
      <x:c r="A5" s="20" t="str">
        <x:v>A-SS-001</x:v>
      </x:c>
      <x:c r="B5" s="20" t="str">
        <x:v>Substation topology</x:v>
      </x:c>
      <x:c r="C5" s="20" t="str">
        <x:v>All nine GI_Gill bays</x:v>
      </x:c>
      <x:c r="D5" s="20" t="str">
        <x:v>Bay arrangement</x:v>
      </x:c>
      <x:c r="E5" s="20" t="str">
        <x:v>Single-bus single-breaker: Bus–DS–CB–DS–Equipment</x:v>
      </x:c>
      <x:c r="F5" s="20" t="str">
        <x:v>Focused XML is bus-branch and has no Breaker objects.</x:v>
      </x:c>
      <x:c r="G5" s="34" t="n">
        <x:v>0.7</x:v>
      </x:c>
      <x:c r="H5" s="20" t="str">
        <x:v>YES</x:v>
      </x:c>
      <x:c r="I5" s="20" t="str">
        <x:v>Introduces provisional switching devices and connectivity nodes.</x:v>
      </x:c>
    </x:row>
    <x:row r="6">
      <x:c r="A6" s="20" t="str">
        <x:v>A-SS-002</x:v>
      </x:c>
      <x:c r="B6" s="20" t="str">
        <x:v>Switch status</x:v>
      </x:c>
      <x:c r="C6" s="20" t="str">
        <x:v>Generated CB and DS</x:v>
      </x:c>
      <x:c r="D6" s="20" t="str">
        <x:v>normalOpen</x:v>
      </x:c>
      <x:c r="E6" s="20" t="str">
        <x:v>false</x:v>
      </x:c>
      <x:c r="F6" s="20" t="str">
        <x:v>Normal in-service topology for the POC.</x:v>
      </x:c>
      <x:c r="G6" s="34" t="n">
        <x:v>0.55</x:v>
      </x:c>
      <x:c r="H6" s="20" t="str">
        <x:v>YES</x:v>
      </x:c>
      <x:c r="I6" s="20" t="str">
        <x:v>Affects topology processing.</x:v>
      </x:c>
    </x:row>
    <x:row r="7">
      <x:c r="A7" s="20" t="str">
        <x:v>A-SS-003</x:v>
      </x:c>
      <x:c r="B7" s="20" t="str">
        <x:v>Transformer voltage</x:v>
      </x:c>
      <x:c r="C7" s="20" t="str">
        <x:v>Trafo_Gill and Trafo_Pukis</x:v>
      </x:c>
      <x:c r="D7" s="20" t="str">
        <x:v>End ratedU</x:v>
      </x:c>
      <x:c r="E7" s="20" t="str">
        <x:v>Source values retained: 150/150 kV</x:v>
      </x:c>
      <x:c r="F7" s="20" t="str">
        <x:v>Both transformer ends are 150 kV in the focused XML.</x:v>
      </x:c>
      <x:c r="G7" s="34" t="n">
        <x:v>0.3</x:v>
      </x:c>
      <x:c r="H7" s="20" t="str">
        <x:v>YES</x:v>
      </x:c>
      <x:c r="I7" s="20" t="str">
        <x:v>Actual ratio and LV voltage level remain unresolved.</x:v>
      </x:c>
    </x:row>
    <x:row r="8">
      <x:c r="A8" s="20" t="str">
        <x:v>A-SS-004</x:v>
      </x:c>
      <x:c r="B8" s="20" t="str">
        <x:v>Coordinates</x:v>
      </x:c>
      <x:c r="C8" s="20" t="str">
        <x:v>Primary equipment</x:v>
      </x:c>
      <x:c r="D8" s="20" t="str">
        <x:v>x/y</x:v>
      </x:c>
      <x:c r="E8" s="20" t="str">
        <x:v>Original coordinates retained; inserted CB/DS placed along the same bay x-axis.</x:v>
      </x:c>
      <x:c r="F8" s="20" t="str">
        <x:v>The focused XML includes plnicp DiagramProperty.x/y.</x:v>
      </x:c>
      <x:c r="G8" s="34" t="n">
        <x:v>0.9</x:v>
      </x:c>
      <x:c r="H8" s="20" t="str">
        <x:v>NO</x:v>
      </x:c>
      <x:c r="I8" s="20" t="str">
        <x:v>Provides an initial renderable internal layout.</x:v>
      </x:c>
    </x:row>
    <x:row r="9">
      <x:c r="A9" s="20" t="str">
        <x:v>A-SS-005</x:v>
      </x:c>
      <x:c r="B9" s="20" t="str">
        <x:v>Boundary modelling</x:v>
      </x:c>
      <x:c r="C9" s="20" t="str">
        <x:v>Line and transformer remote terminals</x:v>
      </x:c>
      <x:c r="D9" s="20" t="str">
        <x:v>Remote end</x:v>
      </x:c>
      <x:c r="E9" s="20" t="str">
        <x:v>Connectivity boundary node</x:v>
      </x:c>
      <x:c r="F9" s="20" t="str">
        <x:v>The XML only models one substation.</x:v>
      </x:c>
      <x:c r="G9" s="34" t="n">
        <x:v>0.95</x:v>
      </x:c>
      <x:c r="H9" s="20" t="str">
        <x:v>NO</x:v>
      </x:c>
      <x:c r="I9" s="20" t="str">
        <x:v>External network is intentionally outside this model.</x:v>
      </x:c>
    </x:row>
  </x:sheetData>
  <x:mergeCells>
    <x:mergeCell ref="A1:I1"/>
    <x:mergeCell ref="A2:I2"/>
  </x:mergeCells>
  <x:conditionalFormatting sqref="H5:H9">
    <x:cfRule type="expression" dxfId="1" priority="1">
      <x:formula>H5="YES"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ea2734dd93449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50" hidden="0" customWidth="1"/>
    <x:col min="5" max="5" width="18" hidden="0" customWidth="1"/>
    <x:col min="6" max="6" width="58" hidden="0" customWidth="1"/>
    <x:col min="7" max="7" width="58" hidden="0" customWidth="1"/>
  </x:cols>
  <x:sheetData>
    <x:row r="1" ht="28" customHeight="1">
      <x:c r="A1" s="23" t="str">
        <x:v>Structural and Engineering Validation</x:v>
      </x:c>
      <x:c r="B1" s="23"/>
      <x:c r="C1" s="23"/>
      <x:c r="D1" s="23"/>
      <x:c r="E1" s="23"/>
      <x:c r="F1" s="23"/>
      <x:c r="G1" s="23"/>
    </x:row>
    <x:row r="2" ht="36" customHeight="1">
      <x:c r="A2" s="26" t="str">
        <x:v>Structural failures are treated as errors; unresolved engineering data remain open review items.</x:v>
      </x:c>
      <x:c r="B2" s="26"/>
      <x:c r="C2" s="26"/>
      <x:c r="D2" s="26"/>
      <x:c r="E2" s="26"/>
      <x:c r="F2" s="26"/>
      <x:c r="G2" s="26"/>
    </x:row>
    <x:row r="4" ht="30" customHeight="1">
      <x:c r="A4" s="30" t="str">
        <x:v>rule_id</x:v>
      </x:c>
      <x:c r="B4" s="30" t="str">
        <x:v>severity</x:v>
      </x:c>
      <x:c r="C4" s="30" t="str">
        <x:v>scope</x:v>
      </x:c>
      <x:c r="D4" s="30" t="str">
        <x:v>rule</x:v>
      </x:c>
      <x:c r="E4" s="30" t="str">
        <x:v>status</x:v>
      </x:c>
      <x:c r="F4" s="30" t="str">
        <x:v>detail</x:v>
      </x:c>
      <x:c r="G4" s="30" t="str">
        <x:v>required_action</x:v>
      </x:c>
    </x:row>
    <x:row r="5">
      <x:c r="A5" s="20" t="str">
        <x:v>SS-VAL-001</x:v>
      </x:c>
      <x:c r="B5" s="20" t="str">
        <x:v>ERROR</x:v>
      </x:c>
      <x:c r="C5" s="20" t="str">
        <x:v>Canonical XML</x:v>
      </x:c>
      <x:c r="D5" s="20" t="str">
        <x:v>All local references resolve</x:v>
      </x:c>
      <x:c r="E5" s="20" t="str">
        <x:v>PASS</x:v>
      </x:c>
      <x:c r="F5" s="20" t="str">
        <x:v>0 unresolved references.</x:v>
      </x:c>
      <x:c r="G5" s="20" t="str"/>
    </x:row>
    <x:row r="6">
      <x:c r="A6" s="20" t="str">
        <x:v>SS-VAL-002</x:v>
      </x:c>
      <x:c r="B6" s="20" t="str">
        <x:v>ERROR</x:v>
      </x:c>
      <x:c r="C6" s="20" t="str">
        <x:v>Canonical XML</x:v>
      </x:c>
      <x:c r="D6" s="20" t="str">
        <x:v>mRID values are unique</x:v>
      </x:c>
      <x:c r="E6" s="20" t="str">
        <x:v>PASS</x:v>
      </x:c>
      <x:c r="F6" s="20" t="str">
        <x:v>0 duplicate mRIDs.</x:v>
      </x:c>
      <x:c r="G6" s="20" t="str"/>
    </x:row>
    <x:row r="7">
      <x:c r="A7" s="20" t="str">
        <x:v>SS-VAL-003</x:v>
      </x:c>
      <x:c r="B7" s="20" t="str">
        <x:v>ERROR</x:v>
      </x:c>
      <x:c r="C7" s="20" t="str">
        <x:v>Breaker</x:v>
      </x:c>
      <x:c r="D7" s="20" t="str">
        <x:v>Each Breaker has exactly two terminals</x:v>
      </x:c>
      <x:c r="E7" s="20" t="str">
        <x:v>PASS</x:v>
      </x:c>
      <x:c r="F7" s="20" t="str">
        <x:v>0 issues.</x:v>
      </x:c>
      <x:c r="G7" s="20" t="str">
        <x:v>[]</x:v>
      </x:c>
    </x:row>
    <x:row r="8">
      <x:c r="A8" s="20" t="str">
        <x:v>SS-VAL-004</x:v>
      </x:c>
      <x:c r="B8" s="20" t="str">
        <x:v>ERROR</x:v>
      </x:c>
      <x:c r="C8" s="20" t="str">
        <x:v>Disconnector</x:v>
      </x:c>
      <x:c r="D8" s="20" t="str">
        <x:v>Each Disconnector has exactly two terminals</x:v>
      </x:c>
      <x:c r="E8" s="20" t="str">
        <x:v>PASS</x:v>
      </x:c>
      <x:c r="F8" s="20" t="str">
        <x:v>0 issues.</x:v>
      </x:c>
      <x:c r="G8" s="20" t="str">
        <x:v>[]</x:v>
      </x:c>
    </x:row>
    <x:row r="9">
      <x:c r="A9" s="20" t="str">
        <x:v>SS-VAL-005</x:v>
      </x:c>
      <x:c r="B9" s="20" t="str">
        <x:v>ERROR</x:v>
      </x:c>
      <x:c r="C9" s="20" t="str">
        <x:v>ACLineSegment</x:v>
      </x:c>
      <x:c r="D9" s="20" t="str">
        <x:v>Each ACLineSegment has exactly two terminals</x:v>
      </x:c>
      <x:c r="E9" s="20" t="str">
        <x:v>PASS</x:v>
      </x:c>
      <x:c r="F9" s="20" t="str">
        <x:v>0 issues.</x:v>
      </x:c>
      <x:c r="G9" s="20" t="str">
        <x:v>[]</x:v>
      </x:c>
    </x:row>
    <x:row r="10">
      <x:c r="A10" s="20" t="str">
        <x:v>SS-VAL-006</x:v>
      </x:c>
      <x:c r="B10" s="20" t="str">
        <x:v>ERROR</x:v>
      </x:c>
      <x:c r="C10" s="20" t="str">
        <x:v>PowerTransformer</x:v>
      </x:c>
      <x:c r="D10" s="20" t="str">
        <x:v>Each PowerTransformer has exactly two terminals</x:v>
      </x:c>
      <x:c r="E10" s="20" t="str">
        <x:v>PASS</x:v>
      </x:c>
      <x:c r="F10" s="20" t="str">
        <x:v>0 issues.</x:v>
      </x:c>
      <x:c r="G10" s="20" t="str">
        <x:v>[]</x:v>
      </x:c>
    </x:row>
    <x:row r="11">
      <x:c r="A11" s="20" t="str">
        <x:v>SS-VAL-007</x:v>
      </x:c>
      <x:c r="B11" s="20" t="str">
        <x:v>WARNING</x:v>
      </x:c>
      <x:c r="C11" s="20" t="str">
        <x:v>Source hierarchy</x:v>
      </x:c>
      <x:c r="D11" s="20" t="str">
        <x:v>Repeated Substation records normalized</x:v>
      </x:c>
      <x:c r="E11" s="20" t="str">
        <x:v>PASS</x:v>
      </x:c>
      <x:c r="F11" s="20" t="str">
        <x:v>10 source GI_Gill Substation objects mapped to one canonical object.</x:v>
      </x:c>
      <x:c r="G11" s="20" t="str"/>
    </x:row>
    <x:row r="12">
      <x:c r="A12" s="20" t="str">
        <x:v>SS-VAL-008</x:v>
      </x:c>
      <x:c r="B12" s="20" t="str">
        <x:v>WARNING</x:v>
      </x:c>
      <x:c r="C12" s="20" t="str">
        <x:v>Transformer</x:v>
      </x:c>
      <x:c r="D12" s="20" t="str">
        <x:v>Voltage ratio is physically plausible</x:v>
      </x:c>
      <x:c r="E12" s="20" t="str">
        <x:v>OPEN</x:v>
      </x:c>
      <x:c r="F12" s="20" t="str">
        <x:v>Both ends are 150 kV in the source sample.</x:v>
      </x:c>
      <x:c r="G12" s="20" t="str">
        <x:v>Confirm transformer ratio and create LV voltage levels.</x:v>
      </x:c>
    </x:row>
    <x:row r="13">
      <x:c r="A13" s="20" t="str">
        <x:v>SS-VAL-009</x:v>
      </x:c>
      <x:c r="B13" s="20" t="str">
        <x:v>WARNING</x:v>
      </x:c>
      <x:c r="C13" s="20" t="str">
        <x:v>CB/DS identity</x:v>
      </x:c>
      <x:c r="D13" s="20" t="str">
        <x:v>Asset and operational IDs mapped</x:v>
      </x:c>
      <x:c r="E13" s="20" t="str">
        <x:v>OPEN</x:v>
      </x:c>
      <x:c r="F13" s="20" t="str">
        <x:v>Generated switchgear has POC IDs only.</x:v>
      </x:c>
      <x:c r="G13" s="20" t="str">
        <x:v>Map to SAP, GIS, and SCADA tags.</x:v>
      </x:c>
    </x:row>
  </x:sheetData>
  <x:mergeCells>
    <x:mergeCell ref="A1:G1"/>
    <x:mergeCell ref="A2:G2"/>
  </x:mergeCells>
  <x:conditionalFormatting sqref="E5:E13">
    <x:cfRule type="expression" dxfId="2" priority="1">
      <x:formula>E5="PASS"</x:formula>
    </x:cfRule>
    <x:cfRule type="expression" dxfId="3" priority="2">
      <x:formula>E5="OPEN"</x:formula>
    </x:cfRule>
    <x:cfRule type="expression" dxfId="4" priority="3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8cb871c8ed45c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2" hidden="0" customWidth="1"/>
    <x:col min="4" max="4" width="22" hidden="0" customWidth="1"/>
    <x:col min="5" max="5" width="66" hidden="0" customWidth="1"/>
    <x:col min="6" max="6" width="62" hidden="0" customWidth="1"/>
  </x:cols>
  <x:sheetData>
    <x:row r="1" ht="28" customHeight="1">
      <x:c r="A1" s="23" t="str">
        <x:v>Focused XML Diagnostic</x:v>
      </x:c>
      <x:c r="B1" s="23"/>
      <x:c r="C1" s="23"/>
      <x:c r="D1" s="23"/>
      <x:c r="E1" s="23"/>
      <x:c r="F1" s="23"/>
    </x:row>
    <x:row r="2" ht="36" customHeight="1">
      <x:c r="A2" s="26" t="str">
        <x:v>Key source characteristics that explain why a separate substation-detail transformation is required.</x:v>
      </x:c>
      <x:c r="B2" s="26"/>
      <x:c r="C2" s="26"/>
      <x:c r="D2" s="26"/>
      <x:c r="E2" s="26"/>
      <x:c r="F2" s="26"/>
    </x:row>
    <x:row r="4" ht="30" customHeight="1">
      <x:c r="A4" s="30" t="str">
        <x:v>issue_id</x:v>
      </x:c>
      <x:c r="B4" s="30" t="str">
        <x:v>severity</x:v>
      </x:c>
      <x:c r="C4" s="30" t="str">
        <x:v>metric</x:v>
      </x:c>
      <x:c r="D4" s="30" t="str">
        <x:v>value</x:v>
      </x:c>
      <x:c r="E4" s="30" t="str">
        <x:v>finding</x:v>
      </x:c>
      <x:c r="F4" s="30" t="str">
        <x:v>treatment</x:v>
      </x:c>
    </x:row>
    <x:row r="5">
      <x:c r="A5" s="20" t="str">
        <x:v>SS-SRC-001</x:v>
      </x:c>
      <x:c r="B5" s="20" t="str">
        <x:v>HIGH</x:v>
      </x:c>
      <x:c r="C5" s="20" t="str">
        <x:v>Repeated Substation objects named GI_Gill</x:v>
      </x:c>
      <x:c r="D5" s="20" t="n">
        <x:v>10</x:v>
      </x:c>
      <x:c r="E5" s="20" t="str">
        <x:v>The focused XML creates an equipment-specific Substation object repeatedly.</x:v>
      </x:c>
      <x:c r="F5" s="20" t="str">
        <x:v>Collapsed into one canonical Substation.</x:v>
      </x:c>
    </x:row>
    <x:row r="6">
      <x:c r="A6" s="20" t="str">
        <x:v>SS-SRC-002</x:v>
      </x:c>
      <x:c r="B6" s="20" t="str">
        <x:v>HIGH</x:v>
      </x:c>
      <x:c r="C6" s="20" t="str">
        <x:v>Source Breaker objects</x:v>
      </x:c>
      <x:c r="D6" s="20" t="n">
        <x:v>0</x:v>
      </x:c>
      <x:c r="E6" s="20" t="str">
        <x:v>No Breaker objects exist in the focused XML.</x:v>
      </x:c>
      <x:c r="F6" s="20" t="str">
        <x:v>One provisional CB is generated per bay.</x:v>
      </x:c>
    </x:row>
    <x:row r="7">
      <x:c r="A7" s="20" t="str">
        <x:v>SS-SRC-003</x:v>
      </x:c>
      <x:c r="B7" s="20" t="str">
        <x:v>HIGH</x:v>
      </x:c>
      <x:c r="C7" s="20" t="str">
        <x:v>Source Disconnector objects</x:v>
      </x:c>
      <x:c r="D7" s="20" t="n">
        <x:v>2</x:v>
      </x:c>
      <x:c r="E7" s="20" t="str">
        <x:v>Only two generator-related disconnectors exist.</x:v>
      </x:c>
      <x:c r="F7" s="20" t="str">
        <x:v>Two provisional DS are generated per bay; source generator DS is retained as an alias.</x:v>
      </x:c>
    </x:row>
    <x:row r="8">
      <x:c r="A8" s="20" t="str">
        <x:v>SS-SRC-004</x:v>
      </x:c>
      <x:c r="B8" s="20" t="str">
        <x:v>MEDIUM</x:v>
      </x:c>
      <x:c r="C8" s="20" t="str">
        <x:v>Direct connections to main bus node</x:v>
      </x:c>
      <x:c r="D8" s="20" t="str">
        <x:v>Bus-branch structure</x:v>
      </x:c>
      <x:c r="E8" s="20" t="str">
        <x:v>Primary equipment terminals connect directly to the same bus ConnectivityNode.</x:v>
      </x:c>
      <x:c r="F8" s="20" t="str">
        <x:v>Expanded to explicit DS–CB–DS node-breaker topology.</x:v>
      </x:c>
    </x:row>
    <x:row r="9">
      <x:c r="A9" s="20" t="str">
        <x:v>SS-SRC-005</x:v>
      </x:c>
      <x:c r="B9" s="20" t="str">
        <x:v>HIGH</x:v>
      </x:c>
      <x:c r="C9" s="20" t="str">
        <x:v>Transformer end voltage</x:v>
      </x:c>
      <x:c r="D9" s="20" t="str">
        <x:v>150/150 kV for both transformers</x:v>
      </x:c>
      <x:c r="E9" s="20" t="str">
        <x:v>The source does not provide a distinct LV voltage.</x:v>
      </x:c>
      <x:c r="F9" s="20" t="str">
        <x:v>Source values retained and marked for engineering review.</x:v>
      </x:c>
    </x:row>
    <x:row r="10">
      <x:c r="A10" s="20" t="str">
        <x:v>SS-SRC-006</x:v>
      </x:c>
      <x:c r="B10" s="20" t="str">
        <x:v>MEDIUM</x:v>
      </x:c>
      <x:c r="C10" s="20" t="str">
        <x:v>rdf:ID vs mRID mismatches</x:v>
      </x:c>
      <x:c r="D10" s="20" t="n">
        <x:v>9</x:v>
      </x:c>
      <x:c r="E10" s="20" t="str">
        <x:v>Some ConnectivityNode objects use different RDF identifiers and mRID values.</x:v>
      </x:c>
      <x:c r="F10" s="20" t="str">
        <x:v>Canonical XML uses deterministic UUIDs with aligned rdf:ID and mRID.</x:v>
      </x:c>
    </x:row>
    <x:row r="11">
      <x:c r="A11" s="20" t="str">
        <x:v>SS-SRC-007</x:v>
      </x:c>
      <x:c r="B11" s="20" t="str">
        <x:v>LOW</x:v>
      </x:c>
      <x:c r="C11" s="20" t="str">
        <x:v>Unresolved local references</x:v>
      </x:c>
      <x:c r="D11" s="20" t="n">
        <x:v>0</x:v>
      </x:c>
      <x:c r="E11" s="20" t="str">
        <x:v>The focused XML is structurally reference-complete.</x:v>
      </x:c>
      <x:c r="F11" s="20" t="str">
        <x:v>All canonical output references are also validated.</x:v>
      </x:c>
    </x:row>
  </x:sheetData>
  <x:mergeCells>
    <x:mergeCell ref="A1:F1"/>
    <x:mergeCell ref="A2:F2"/>
  </x:mergeCells>
  <x:conditionalFormatting sqref="B5:B11">
    <x:cfRule type="expression" dxfId="5" priority="1">
      <x:formula>B5="HIGH"</x:formula>
    </x:cfRule>
    <x:cfRule type="expression" dxfId="6" priority="2">
      <x:formula>B5="MEDIUM"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a30391abde429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8" hidden="0" customWidth="1"/>
  </x:cols>
  <x:sheetData>
    <x:row r="1" ht="28" customHeight="1">
      <x:c r="A1" s="23" t="str">
        <x:v>Two-Level NMM Model Structure</x:v>
      </x:c>
      <x:c r="B1" s="23"/>
      <x:c r="C1" s="23"/>
    </x:row>
    <x:row r="2" ht="36" customHeight="1">
      <x:c r="A2" s="26" t="str">
        <x:v>The models are complementary, not duplicates: one describes the network, the other describes the inside of a substation.</x:v>
      </x:c>
      <x:c r="B2" s="26"/>
      <x:c r="C2" s="26"/>
    </x:row>
    <x:row r="4" ht="30" customHeight="1">
      <x:c r="A4" s="30" t="str">
        <x:v>dimension</x:v>
      </x:c>
      <x:c r="B4" s="30" t="str">
        <x:v>system_level</x:v>
      </x:c>
      <x:c r="C4" s="30" t="str">
        <x:v>substation_level</x:v>
      </x:c>
    </x:row>
    <x:row r="5">
      <x:c r="A5" s="20" t="str">
        <x:v>Primary purpose</x:v>
      </x:c>
      <x:c r="B5" s="20" t="str">
        <x:v>Represent the grid and inter-GI circuits</x:v>
      </x:c>
      <x:c r="C5" s="20" t="str">
        <x:v>Represent internal bays and switching equipment</x:v>
      </x:c>
    </x:row>
    <x:row r="6">
      <x:c r="A6" s="20" t="str">
        <x:v>Model scope</x:v>
      </x:c>
      <x:c r="B6" s="20" t="str">
        <x:v>GI Gilimanuk plus remote substations/boundary nodes</x:v>
      </x:c>
      <x:c r="C6" s="20" t="str">
        <x:v>One canonical GI_Gill</x:v>
      </x:c>
    </x:row>
    <x:row r="7">
      <x:c r="A7" s="20" t="str">
        <x:v>Main objects</x:v>
      </x:c>
      <x:c r="B7" s="20" t="str">
        <x:v>Substation, line, transformer, generator, boundary terminal</x:v>
      </x:c>
      <x:c r="C7" s="20" t="str">
        <x:v>Bay, CB, DS, terminal, connectivity node, primary equipment</x:v>
      </x:c>
    </x:row>
    <x:row r="8">
      <x:c r="A8" s="20" t="str">
        <x:v>Remote end</x:v>
      </x:c>
      <x:c r="B8" s="20" t="str">
        <x:v>Connected to another GI/boundary</x:v>
      </x:c>
      <x:c r="C8" s="20" t="str">
        <x:v>Exits at a line/transformer boundary node</x:v>
      </x:c>
    </x:row>
    <x:row r="9">
      <x:c r="A9" s="20" t="str">
        <x:v>Identifier relationship</x:v>
      </x:c>
      <x:c r="B9" s="20" t="str">
        <x:v>Circuit and substation canonical IDs</x:v>
      </x:c>
      <x:c r="C9" s="20" t="str">
        <x:v>Detailed terminal/bay IDs mapped to the system endpoint</x:v>
      </x:c>
    </x:row>
    <x:row r="10">
      <x:c r="A10" s="20" t="str">
        <x:v>Source</x:v>
      </x:c>
      <x:c r="B10" s="20" t="str">
        <x:v>Bali XML plus overview SLD</x:v>
      </x:c>
      <x:c r="C10" s="20" t="str">
        <x:v>Focused one-substation XML with coordinates</x:v>
      </x:c>
    </x:row>
    <x:row r="11">
      <x:c r="A11" s="20" t="str">
        <x:v>Current status</x:v>
      </x:c>
      <x:c r="B11" s="20" t="str">
        <x:v>POC interconnection topology</x:v>
      </x:c>
      <x:c r="C11" s="20" t="str">
        <x:v>POC internal node-breaker topology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0b9dd44083c422b"/>
  </x:tableParts>
</x:worksheet>
</file>